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okups" sheetId="1" r:id="rId4"/>
    <sheet state="visible" name="RTM" sheetId="2" r:id="rId5"/>
    <sheet state="visible" name="Dashboard" sheetId="3" r:id="rId6"/>
    <sheet state="visible" name="Cómo usar" sheetId="4" r:id="rId7"/>
  </sheets>
  <definedNames/>
  <calcPr/>
  <extLst>
    <ext uri="GoogleSheetsCustomDataVersion2">
      <go:sheetsCustomData xmlns:go="http://customooxmlschemas.google.com/" r:id="rId8" roundtripDataChecksum="/k21pakXPo0qvKk7zllr/yF6x/RkzwfAUkljOutSh1A="/>
    </ext>
  </extLst>
</workbook>
</file>

<file path=xl/sharedStrings.xml><?xml version="1.0" encoding="utf-8"?>
<sst xmlns="http://schemas.openxmlformats.org/spreadsheetml/2006/main" count="598" uniqueCount="273">
  <si>
    <t>Listas (para validación de datos)</t>
  </si>
  <si>
    <t>ID Req</t>
  </si>
  <si>
    <t>Nivel de Prueba</t>
  </si>
  <si>
    <t>ID CA</t>
  </si>
  <si>
    <t>Tipo de Prueba</t>
  </si>
  <si>
    <t>Prueba</t>
  </si>
  <si>
    <t>Estado Caso</t>
  </si>
  <si>
    <t>Severidad Defecto</t>
  </si>
  <si>
    <t>Prioridad</t>
  </si>
  <si>
    <t>Riesgo</t>
  </si>
  <si>
    <t>Sprint</t>
  </si>
  <si>
    <t>REF01</t>
  </si>
  <si>
    <t>Sistema</t>
  </si>
  <si>
    <t>CA01</t>
  </si>
  <si>
    <t>Configuración / Seguridad</t>
  </si>
  <si>
    <t>Verificar que el ID de cuenta viene cargado, es visible y no editable</t>
  </si>
  <si>
    <t>Not Run</t>
  </si>
  <si>
    <t>N/A</t>
  </si>
  <si>
    <t>Sprint 1</t>
  </si>
  <si>
    <t>REF02</t>
  </si>
  <si>
    <t>CA02</t>
  </si>
  <si>
    <t>Configuración</t>
  </si>
  <si>
    <t>Iniciar el sistema y validar que el ID de sede se carga automáticamente</t>
  </si>
  <si>
    <t>REF03</t>
  </si>
  <si>
    <t>Unitaria</t>
  </si>
  <si>
    <t>CA03</t>
  </si>
  <si>
    <t>Autenticación</t>
  </si>
  <si>
    <t>Probar login con credenciales válidas e inválidas del admin</t>
  </si>
  <si>
    <t>REF04</t>
  </si>
  <si>
    <t>CA04</t>
  </si>
  <si>
    <t>Seguridad</t>
  </si>
  <si>
    <t>Intentar acceder a módulos sin iniciar sesión</t>
  </si>
  <si>
    <t>CA06</t>
  </si>
  <si>
    <t>Funcional</t>
  </si>
  <si>
    <t>Iniciar sesión y validar permisos</t>
  </si>
  <si>
    <t>CA07</t>
  </si>
  <si>
    <t>Ingresar usuario/clave incorrectos</t>
  </si>
  <si>
    <t>REF05</t>
  </si>
  <si>
    <t>CA08</t>
  </si>
  <si>
    <t>Funcional / CRUD</t>
  </si>
  <si>
    <t>Crear trabajador válido y verificar aparición en lista</t>
  </si>
  <si>
    <t>REF06</t>
  </si>
  <si>
    <t>CA09</t>
  </si>
  <si>
    <t>Listar trabajadores activos en páginas de 10</t>
  </si>
  <si>
    <t>CA10</t>
  </si>
  <si>
    <t>UI / Funcional</t>
  </si>
  <si>
    <t>Seleccionar trabajador y validar popup</t>
  </si>
  <si>
    <t>CA11</t>
  </si>
  <si>
    <t>Validar que no se muestra contraseña</t>
  </si>
  <si>
    <t>REF07</t>
  </si>
  <si>
    <t>CA12</t>
  </si>
  <si>
    <t>Validación</t>
  </si>
  <si>
    <t>Intentar modificar ID</t>
  </si>
  <si>
    <t>CA13</t>
  </si>
  <si>
    <t>Enviar datos con tipos incorrectos</t>
  </si>
  <si>
    <t>CA14</t>
  </si>
  <si>
    <t>Modificar trabajador válido</t>
  </si>
  <si>
    <t>REF08</t>
  </si>
  <si>
    <t>CA15</t>
  </si>
  <si>
    <t>Integridad de datos</t>
  </si>
  <si>
    <t>Eliminar trabajador con y sin FK</t>
  </si>
  <si>
    <t>REF09</t>
  </si>
  <si>
    <t>CA16</t>
  </si>
  <si>
    <t>Crear caja válida y verificar lista</t>
  </si>
  <si>
    <t>REF10</t>
  </si>
  <si>
    <t>CA17</t>
  </si>
  <si>
    <t>Listar cajas</t>
  </si>
  <si>
    <t>CA18</t>
  </si>
  <si>
    <t>Verificar que cada caja muestra capital físico</t>
  </si>
  <si>
    <t>REF11</t>
  </si>
  <si>
    <t>CA19</t>
  </si>
  <si>
    <t>Intentar modificar ID de caja</t>
  </si>
  <si>
    <t>CA20</t>
  </si>
  <si>
    <t>Enviar tipos incorrectos</t>
  </si>
  <si>
    <t>CA21</t>
  </si>
  <si>
    <t>Modificar caja válida</t>
  </si>
  <si>
    <t>HU</t>
  </si>
  <si>
    <t>RF/RNF</t>
  </si>
  <si>
    <t>Descripción Requerimiento</t>
  </si>
  <si>
    <t>Escenario</t>
  </si>
  <si>
    <t>Condición de Prueba</t>
  </si>
  <si>
    <t>Caso de Prueba</t>
  </si>
  <si>
    <t>Nivel</t>
  </si>
  <si>
    <t>Tipo</t>
  </si>
  <si>
    <t>Automatizable</t>
  </si>
  <si>
    <t>Estado</t>
  </si>
  <si>
    <t>Defecto</t>
  </si>
  <si>
    <t>Severidad</t>
  </si>
  <si>
    <t>Versión Probada</t>
  </si>
  <si>
    <t>Entorno</t>
  </si>
  <si>
    <t>Fecha Ejecución</t>
  </si>
  <si>
    <t>Notas</t>
  </si>
  <si>
    <t>Cobertura Req (%)</t>
  </si>
  <si>
    <t>HU01</t>
  </si>
  <si>
    <t>RF01</t>
  </si>
  <si>
    <t>Registro de usuario</t>
  </si>
  <si>
    <t>ESC01</t>
  </si>
  <si>
    <t>COND01</t>
  </si>
  <si>
    <t>CP-001</t>
  </si>
  <si>
    <t>Alta</t>
  </si>
  <si>
    <t>Alto</t>
  </si>
  <si>
    <t>Sí</t>
  </si>
  <si>
    <t>Pass</t>
  </si>
  <si>
    <t>v1.2.0</t>
  </si>
  <si>
    <t>QA</t>
  </si>
  <si>
    <t>2026-02-05</t>
  </si>
  <si>
    <t>Registro con datos válidos</t>
  </si>
  <si>
    <t>ESC02</t>
  </si>
  <si>
    <t>COND02</t>
  </si>
  <si>
    <t>CP-002</t>
  </si>
  <si>
    <t>Fail</t>
  </si>
  <si>
    <t>BUG-001</t>
  </si>
  <si>
    <t>Email duplicado no muestra mensaje</t>
  </si>
  <si>
    <t>HU02</t>
  </si>
  <si>
    <t>RF02</t>
  </si>
  <si>
    <t>Inicio de sesión</t>
  </si>
  <si>
    <t>ESC03</t>
  </si>
  <si>
    <t>COND03</t>
  </si>
  <si>
    <t>CP-003</t>
  </si>
  <si>
    <t>2026-02-06</t>
  </si>
  <si>
    <t>Login válido</t>
  </si>
  <si>
    <t>ESC04</t>
  </si>
  <si>
    <t>COND04</t>
  </si>
  <si>
    <t>CP-004</t>
  </si>
  <si>
    <t>No</t>
  </si>
  <si>
    <t>BUG-002</t>
  </si>
  <si>
    <t>Crítica</t>
  </si>
  <si>
    <t>Bloqueo por intentos fallidos no funciona</t>
  </si>
  <si>
    <t>HU03</t>
  </si>
  <si>
    <t>RF03</t>
  </si>
  <si>
    <t>Cerrar sesión</t>
  </si>
  <si>
    <t>ESC05</t>
  </si>
  <si>
    <t>COND05</t>
  </si>
  <si>
    <t>CP-005</t>
  </si>
  <si>
    <t>Media</t>
  </si>
  <si>
    <t>Medio</t>
  </si>
  <si>
    <t>Cierre de sesión</t>
  </si>
  <si>
    <t>HU13</t>
  </si>
  <si>
    <t>RF13</t>
  </si>
  <si>
    <t>Cambiar contraseña</t>
  </si>
  <si>
    <t>ESC06</t>
  </si>
  <si>
    <t>COND06</t>
  </si>
  <si>
    <t>CP-006</t>
  </si>
  <si>
    <t>2026-02-07</t>
  </si>
  <si>
    <t>Cambio contraseña válida</t>
  </si>
  <si>
    <t>HU19</t>
  </si>
  <si>
    <t>RF19</t>
  </si>
  <si>
    <t>Eliminar cuenta</t>
  </si>
  <si>
    <t>ESC07</t>
  </si>
  <si>
    <t>COND07</t>
  </si>
  <si>
    <t>CP-007</t>
  </si>
  <si>
    <t>Blocked</t>
  </si>
  <si>
    <t>Bloqueado por dependencia de servicio email</t>
  </si>
  <si>
    <t>HU04</t>
  </si>
  <si>
    <t>RF04</t>
  </si>
  <si>
    <t>Agregar riesgos</t>
  </si>
  <si>
    <t>ESC08</t>
  </si>
  <si>
    <t>COND08</t>
  </si>
  <si>
    <t>CP-008</t>
  </si>
  <si>
    <t>Sprint 2</t>
  </si>
  <si>
    <t>v1.3.0</t>
  </si>
  <si>
    <t>2026-02-08</t>
  </si>
  <si>
    <t>Agregar riesgo válido</t>
  </si>
  <si>
    <t>ESC09</t>
  </si>
  <si>
    <t>COND09</t>
  </si>
  <si>
    <t>CP-009</t>
  </si>
  <si>
    <t>BUG-010</t>
  </si>
  <si>
    <t>Validación de campo vacío falla</t>
  </si>
  <si>
    <t>HU07</t>
  </si>
  <si>
    <t>RF07</t>
  </si>
  <si>
    <t>Mostrar taxonomía</t>
  </si>
  <si>
    <t>ESC10</t>
  </si>
  <si>
    <t>COND10</t>
  </si>
  <si>
    <t>CP-010</t>
  </si>
  <si>
    <t>Usabilidad</t>
  </si>
  <si>
    <t>2026-02-09</t>
  </si>
  <si>
    <t>Visualización correcta</t>
  </si>
  <si>
    <t>HU09</t>
  </si>
  <si>
    <t>RF09</t>
  </si>
  <si>
    <t>Eliminar riesgos</t>
  </si>
  <si>
    <t>ESC11</t>
  </si>
  <si>
    <t>COND11</t>
  </si>
  <si>
    <t>CP-011</t>
  </si>
  <si>
    <t>Integración</t>
  </si>
  <si>
    <t>BUG-012</t>
  </si>
  <si>
    <t>No elimina en BD</t>
  </si>
  <si>
    <t>HU20</t>
  </si>
  <si>
    <t>RF20</t>
  </si>
  <si>
    <t>Reiniciar taxonomía</t>
  </si>
  <si>
    <t>ESC12</t>
  </si>
  <si>
    <t>COND12</t>
  </si>
  <si>
    <t>CP-012</t>
  </si>
  <si>
    <t>Regresión</t>
  </si>
  <si>
    <t>2026-02-10</t>
  </si>
  <si>
    <t>Reinicio exitoso</t>
  </si>
  <si>
    <t>HU21</t>
  </si>
  <si>
    <t>RNF1</t>
  </si>
  <si>
    <t>Interfaz simple</t>
  </si>
  <si>
    <t>ESC13</t>
  </si>
  <si>
    <t>COND13</t>
  </si>
  <si>
    <t>CP-013</t>
  </si>
  <si>
    <t>UI simple cumple</t>
  </si>
  <si>
    <t>HU22</t>
  </si>
  <si>
    <t>RNF2</t>
  </si>
  <si>
    <t>Interfaz oscura</t>
  </si>
  <si>
    <t>ESC14</t>
  </si>
  <si>
    <t>COND14</t>
  </si>
  <si>
    <t>CP-014</t>
  </si>
  <si>
    <t>Bajo</t>
  </si>
  <si>
    <t>Dark mode OK</t>
  </si>
  <si>
    <t>HU05</t>
  </si>
  <si>
    <t>RF05</t>
  </si>
  <si>
    <t>Recuperar contraseña</t>
  </si>
  <si>
    <t>ESC15</t>
  </si>
  <si>
    <t>COND15</t>
  </si>
  <si>
    <t>CP-015</t>
  </si>
  <si>
    <t>Sprint 3</t>
  </si>
  <si>
    <t>BUG-020</t>
  </si>
  <si>
    <t>v1.4.0</t>
  </si>
  <si>
    <t>2026-02-11</t>
  </si>
  <si>
    <t>Correo no llega (SMTP)</t>
  </si>
  <si>
    <t>HU06</t>
  </si>
  <si>
    <t>RF06</t>
  </si>
  <si>
    <t>Notificar reinicio</t>
  </si>
  <si>
    <t>ESC16</t>
  </si>
  <si>
    <t>COND16</t>
  </si>
  <si>
    <t>CP-016</t>
  </si>
  <si>
    <t>Notificación visible</t>
  </si>
  <si>
    <t>HU08</t>
  </si>
  <si>
    <t>RF08</t>
  </si>
  <si>
    <t>Cambiar nombre usuario</t>
  </si>
  <si>
    <t>ESC17</t>
  </si>
  <si>
    <t>COND17</t>
  </si>
  <si>
    <t>CP-017</t>
  </si>
  <si>
    <t>Cambio nombre OK</t>
  </si>
  <si>
    <t>HU10</t>
  </si>
  <si>
    <t>RF10</t>
  </si>
  <si>
    <t>Cambiar correo</t>
  </si>
  <si>
    <t>ESC18</t>
  </si>
  <si>
    <t>COND18</t>
  </si>
  <si>
    <t>CP-018</t>
  </si>
  <si>
    <t>Reautenticación requerida</t>
  </si>
  <si>
    <t>HU16</t>
  </si>
  <si>
    <t>RF16</t>
  </si>
  <si>
    <t>Guardar información</t>
  </si>
  <si>
    <t>ESC19</t>
  </si>
  <si>
    <t>COND19</t>
  </si>
  <si>
    <t>CP-019</t>
  </si>
  <si>
    <t>Baja</t>
  </si>
  <si>
    <t>Persistencia OK</t>
  </si>
  <si>
    <t>ESC20</t>
  </si>
  <si>
    <t>COND20</t>
  </si>
  <si>
    <t>CP-020</t>
  </si>
  <si>
    <t>Rendimiento</t>
  </si>
  <si>
    <t>Guardar &lt; 2s</t>
  </si>
  <si>
    <t>Dashboard de Pruebas (RTM)</t>
  </si>
  <si>
    <t>Resumen de Ejecución</t>
  </si>
  <si>
    <t>Cobertura por Requerimiento (Pass/Executado)</t>
  </si>
  <si>
    <t>Total Casos</t>
  </si>
  <si>
    <t>Requerimiento</t>
  </si>
  <si>
    <t>Ejecutados</t>
  </si>
  <si>
    <t>Cobertura</t>
  </si>
  <si>
    <t>Ejecutados (≠ Not Run)</t>
  </si>
  <si>
    <t>% Aprobación</t>
  </si>
  <si>
    <t>Defectos (con ID)</t>
  </si>
  <si>
    <t>% Automatización</t>
  </si>
  <si>
    <t>Guía rápida (RTM avanzado)</t>
  </si>
  <si>
    <t>1) Diligencia la hoja RTM: HU, RF/RNF, Escenario, Condición, Caso, Nivel, Tipo, Prioridad, Riesgo, Sprint.</t>
  </si>
  <si>
    <t>2) Usa los desplegables (validación de datos) para Nivel/Tipo/Estado/Severidad/Prioridad/Riesgo/Sprint.</t>
  </si>
  <si>
    <t>3) Registra ejecución: Estado, Resultado (en Notas), Evidencia (link/archivo), Fecha, Entorno y Versión.</t>
  </si>
  <si>
    <t>4) Si un caso falla, crea un ID de defecto (p. ej., BUG-001) y asigna severidad.</t>
  </si>
  <si>
    <t>5) Revisa la hoja Dashboard: métricas globales, % aprobación, defectos por severidad y cobertura por RF.</t>
  </si>
  <si>
    <t>6) La columna 'Cobertura Req (%)' en RTM calcula la cobertura por requerimiento basada en la ejecución registrada.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</si>
</sst>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b/>
      <sz val="12.0"/>
      <color theme="1"/>
      <name val="Calibri"/>
    </font>
    <font>
      <b/>
      <sz val="16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D9E1F2"/>
        <bgColor rgb="FFD9E1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1" fillId="2" fontId="2" numFmtId="0" xfId="0" applyBorder="1" applyFont="1"/>
    <xf borderId="0" fillId="0" fontId="3" numFmtId="49" xfId="0" applyAlignment="1" applyFont="1" applyNumberFormat="1">
      <alignment vertical="bottom"/>
    </xf>
    <xf borderId="1" fillId="0" fontId="4" numFmtId="0" xfId="0" applyBorder="1" applyFont="1"/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horizontal="center" vertical="bottom"/>
    </xf>
    <xf borderId="0" fillId="0" fontId="5" numFmtId="49" xfId="0" applyAlignment="1" applyFont="1" applyNumberFormat="1">
      <alignment horizontal="center" vertical="bottom"/>
    </xf>
    <xf borderId="2" fillId="3" fontId="6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shrinkToFit="0" vertical="top" wrapText="1"/>
    </xf>
    <xf borderId="2" fillId="0" fontId="4" numFmtId="9" xfId="0" applyAlignment="1" applyBorder="1" applyFont="1" applyNumberFormat="1">
      <alignment shrinkToFit="0" vertical="top" wrapText="1"/>
    </xf>
    <xf borderId="0" fillId="0" fontId="7" numFmtId="0" xfId="0" applyFont="1"/>
    <xf borderId="0" fillId="0" fontId="6" numFmtId="0" xfId="0" applyFont="1"/>
    <xf borderId="2" fillId="0" fontId="2" numFmtId="0" xfId="0" applyBorder="1" applyFont="1"/>
    <xf borderId="2" fillId="0" fontId="4" numFmtId="0" xfId="0" applyBorder="1" applyFont="1"/>
    <xf borderId="2" fillId="4" fontId="2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9" xfId="0" applyAlignment="1" applyBorder="1" applyFont="1" applyNumberFormat="1">
      <alignment horizontal="center" shrinkToFit="0" vertical="center" wrapText="1"/>
    </xf>
    <xf borderId="2" fillId="0" fontId="4" numFmtId="9" xfId="0" applyBorder="1" applyFont="1" applyNumberFormat="1"/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0"/>
    <col customWidth="1" min="3" max="3" width="13.0"/>
    <col customWidth="1" min="4" max="4" width="30.29"/>
    <col customWidth="1" min="5" max="5" width="52.86"/>
    <col customWidth="1" min="6" max="6" width="20.0"/>
    <col customWidth="1" min="7" max="7" width="16.71"/>
    <col customWidth="1" min="8" max="8" width="20.0"/>
    <col customWidth="1" min="9" max="9" width="15.29"/>
    <col customWidth="1" min="10" max="10" width="20.0"/>
    <col customWidth="1" min="11" max="11" width="14.43"/>
    <col customWidth="1" min="12" max="12" width="30.0"/>
    <col customWidth="1" min="13" max="13" width="19.29"/>
    <col customWidth="1" min="14" max="14" width="20.0"/>
    <col customWidth="1" min="15" max="27" width="8.86"/>
  </cols>
  <sheetData>
    <row r="1" ht="14.25" customHeight="1">
      <c r="A1" s="1"/>
      <c r="B1" s="1" t="s">
        <v>0</v>
      </c>
    </row>
    <row r="2" ht="14.25" customHeight="1"/>
    <row r="3" ht="14.25" customHeight="1">
      <c r="A3" s="2" t="s">
        <v>1</v>
      </c>
      <c r="B3" s="3" t="s">
        <v>2</v>
      </c>
      <c r="C3" s="2" t="s">
        <v>3</v>
      </c>
      <c r="D3" s="3" t="s">
        <v>4</v>
      </c>
      <c r="E3" s="2" t="s">
        <v>5</v>
      </c>
      <c r="F3" s="3" t="s">
        <v>6</v>
      </c>
      <c r="G3" s="3"/>
      <c r="H3" s="3" t="s">
        <v>7</v>
      </c>
      <c r="I3" s="3"/>
      <c r="J3" s="3" t="s">
        <v>8</v>
      </c>
      <c r="K3" s="3"/>
      <c r="L3" s="3" t="s">
        <v>9</v>
      </c>
      <c r="M3" s="3"/>
      <c r="N3" s="3" t="s">
        <v>10</v>
      </c>
    </row>
    <row r="4" ht="14.25" customHeight="1">
      <c r="A4" s="4" t="s">
        <v>11</v>
      </c>
      <c r="B4" s="5" t="s">
        <v>12</v>
      </c>
      <c r="C4" s="4" t="s">
        <v>13</v>
      </c>
      <c r="D4" s="6" t="s">
        <v>14</v>
      </c>
      <c r="E4" s="6" t="s">
        <v>15</v>
      </c>
      <c r="F4" s="5" t="s">
        <v>16</v>
      </c>
      <c r="G4" s="5"/>
      <c r="H4" s="5" t="s">
        <v>17</v>
      </c>
      <c r="I4" s="5"/>
      <c r="J4" s="5"/>
      <c r="K4" s="5"/>
      <c r="L4" s="5"/>
      <c r="M4" s="5"/>
      <c r="N4" s="5" t="s">
        <v>18</v>
      </c>
    </row>
    <row r="5" ht="14.25" customHeight="1">
      <c r="A5" s="4" t="s">
        <v>19</v>
      </c>
      <c r="B5" s="5" t="s">
        <v>12</v>
      </c>
      <c r="C5" s="4" t="s">
        <v>20</v>
      </c>
      <c r="D5" s="6" t="s">
        <v>21</v>
      </c>
      <c r="E5" s="6" t="s">
        <v>22</v>
      </c>
      <c r="F5" s="5" t="s">
        <v>16</v>
      </c>
      <c r="G5" s="5"/>
      <c r="H5" s="5" t="s">
        <v>17</v>
      </c>
      <c r="I5" s="5"/>
      <c r="J5" s="5"/>
      <c r="K5" s="5"/>
      <c r="L5" s="5"/>
      <c r="M5" s="5"/>
      <c r="N5" s="5" t="s">
        <v>18</v>
      </c>
    </row>
    <row r="6" ht="14.25" customHeight="1">
      <c r="A6" s="4" t="s">
        <v>23</v>
      </c>
      <c r="B6" s="7" t="s">
        <v>24</v>
      </c>
      <c r="C6" s="4" t="s">
        <v>25</v>
      </c>
      <c r="D6" s="6" t="s">
        <v>26</v>
      </c>
      <c r="E6" s="6" t="s">
        <v>27</v>
      </c>
      <c r="F6" s="5" t="s">
        <v>16</v>
      </c>
      <c r="G6" s="5"/>
      <c r="H6" s="5" t="s">
        <v>17</v>
      </c>
      <c r="I6" s="5"/>
      <c r="J6" s="5"/>
      <c r="K6" s="5"/>
      <c r="L6" s="5"/>
      <c r="M6" s="5"/>
      <c r="N6" s="5" t="s">
        <v>18</v>
      </c>
    </row>
    <row r="7" ht="14.25" customHeight="1">
      <c r="A7" s="4" t="s">
        <v>28</v>
      </c>
      <c r="B7" s="7" t="s">
        <v>24</v>
      </c>
      <c r="C7" s="4" t="s">
        <v>29</v>
      </c>
      <c r="D7" s="6" t="s">
        <v>30</v>
      </c>
      <c r="E7" s="6" t="s">
        <v>31</v>
      </c>
      <c r="F7" s="5" t="s">
        <v>16</v>
      </c>
      <c r="G7" s="5"/>
      <c r="H7" s="5" t="s">
        <v>17</v>
      </c>
      <c r="I7" s="5"/>
      <c r="J7" s="5"/>
      <c r="K7" s="5"/>
      <c r="L7" s="5"/>
      <c r="M7" s="5"/>
      <c r="N7" s="5" t="s">
        <v>18</v>
      </c>
    </row>
    <row r="8" ht="14.25" customHeight="1">
      <c r="A8" s="4" t="s">
        <v>28</v>
      </c>
      <c r="B8" s="7" t="s">
        <v>24</v>
      </c>
      <c r="C8" s="4" t="s">
        <v>32</v>
      </c>
      <c r="D8" s="6" t="s">
        <v>33</v>
      </c>
      <c r="E8" s="6" t="s">
        <v>34</v>
      </c>
      <c r="F8" s="5" t="s">
        <v>16</v>
      </c>
      <c r="G8" s="5"/>
      <c r="H8" s="5" t="s">
        <v>17</v>
      </c>
      <c r="I8" s="5"/>
      <c r="J8" s="5"/>
      <c r="K8" s="5"/>
      <c r="L8" s="5"/>
      <c r="M8" s="5"/>
      <c r="N8" s="5" t="s">
        <v>18</v>
      </c>
    </row>
    <row r="9" ht="14.25" customHeight="1">
      <c r="A9" s="4" t="s">
        <v>28</v>
      </c>
      <c r="B9" s="7" t="s">
        <v>24</v>
      </c>
      <c r="C9" s="4" t="s">
        <v>35</v>
      </c>
      <c r="D9" s="6" t="s">
        <v>30</v>
      </c>
      <c r="E9" s="6" t="s">
        <v>36</v>
      </c>
      <c r="F9" s="5" t="s">
        <v>16</v>
      </c>
      <c r="G9" s="5"/>
      <c r="H9" s="5" t="s">
        <v>17</v>
      </c>
      <c r="I9" s="5"/>
      <c r="J9" s="5"/>
      <c r="K9" s="5"/>
      <c r="L9" s="5"/>
      <c r="M9" s="5"/>
      <c r="N9" s="5" t="s">
        <v>18</v>
      </c>
    </row>
    <row r="10" ht="14.25" customHeight="1">
      <c r="A10" s="4" t="s">
        <v>37</v>
      </c>
      <c r="B10" s="7" t="s">
        <v>24</v>
      </c>
      <c r="C10" s="4" t="s">
        <v>38</v>
      </c>
      <c r="D10" s="6" t="s">
        <v>39</v>
      </c>
      <c r="E10" s="6" t="s">
        <v>40</v>
      </c>
      <c r="F10" s="5" t="s">
        <v>16</v>
      </c>
      <c r="G10" s="5"/>
      <c r="H10" s="5" t="s">
        <v>17</v>
      </c>
      <c r="I10" s="5"/>
      <c r="J10" s="5"/>
      <c r="K10" s="5"/>
      <c r="L10" s="5"/>
      <c r="M10" s="5"/>
      <c r="N10" s="5" t="s">
        <v>18</v>
      </c>
    </row>
    <row r="11" ht="14.25" customHeight="1">
      <c r="A11" s="4" t="s">
        <v>41</v>
      </c>
      <c r="B11" s="7" t="s">
        <v>24</v>
      </c>
      <c r="C11" s="4" t="s">
        <v>42</v>
      </c>
      <c r="D11" s="6" t="s">
        <v>33</v>
      </c>
      <c r="E11" s="6" t="s">
        <v>43</v>
      </c>
      <c r="F11" s="5" t="s">
        <v>16</v>
      </c>
      <c r="G11" s="5"/>
      <c r="H11" s="5" t="s">
        <v>17</v>
      </c>
      <c r="I11" s="5"/>
      <c r="J11" s="5"/>
      <c r="K11" s="5"/>
      <c r="L11" s="5"/>
      <c r="M11" s="5"/>
      <c r="N11" s="5" t="s">
        <v>18</v>
      </c>
    </row>
    <row r="12" ht="14.25" customHeight="1">
      <c r="A12" s="4" t="s">
        <v>41</v>
      </c>
      <c r="B12" s="7" t="s">
        <v>24</v>
      </c>
      <c r="C12" s="4" t="s">
        <v>44</v>
      </c>
      <c r="D12" s="6" t="s">
        <v>45</v>
      </c>
      <c r="E12" s="6" t="s">
        <v>46</v>
      </c>
      <c r="F12" s="5" t="s">
        <v>16</v>
      </c>
      <c r="H12" s="5" t="s">
        <v>17</v>
      </c>
      <c r="N12" s="5" t="s">
        <v>18</v>
      </c>
    </row>
    <row r="13" ht="14.25" customHeight="1">
      <c r="A13" s="4" t="s">
        <v>41</v>
      </c>
      <c r="B13" s="7" t="s">
        <v>24</v>
      </c>
      <c r="C13" s="4" t="s">
        <v>47</v>
      </c>
      <c r="D13" s="6" t="s">
        <v>30</v>
      </c>
      <c r="E13" s="6" t="s">
        <v>48</v>
      </c>
      <c r="F13" s="5" t="s">
        <v>16</v>
      </c>
      <c r="H13" s="5" t="s">
        <v>17</v>
      </c>
      <c r="N13" s="5" t="s">
        <v>18</v>
      </c>
    </row>
    <row r="14" ht="14.25" customHeight="1">
      <c r="A14" s="4" t="s">
        <v>49</v>
      </c>
      <c r="B14" s="7" t="s">
        <v>24</v>
      </c>
      <c r="C14" s="4" t="s">
        <v>50</v>
      </c>
      <c r="D14" s="6" t="s">
        <v>51</v>
      </c>
      <c r="E14" s="6" t="s">
        <v>52</v>
      </c>
      <c r="F14" s="5" t="s">
        <v>16</v>
      </c>
      <c r="H14" s="5" t="s">
        <v>17</v>
      </c>
      <c r="N14" s="5" t="s">
        <v>18</v>
      </c>
    </row>
    <row r="15" ht="14.25" customHeight="1">
      <c r="A15" s="4" t="s">
        <v>49</v>
      </c>
      <c r="B15" s="7" t="s">
        <v>24</v>
      </c>
      <c r="C15" s="4" t="s">
        <v>53</v>
      </c>
      <c r="D15" s="6" t="s">
        <v>51</v>
      </c>
      <c r="E15" s="6" t="s">
        <v>54</v>
      </c>
      <c r="F15" s="5" t="s">
        <v>16</v>
      </c>
      <c r="H15" s="5" t="s">
        <v>17</v>
      </c>
      <c r="N15" s="5" t="s">
        <v>18</v>
      </c>
    </row>
    <row r="16" ht="14.25" customHeight="1">
      <c r="A16" s="4" t="s">
        <v>49</v>
      </c>
      <c r="B16" s="7" t="s">
        <v>24</v>
      </c>
      <c r="C16" s="4" t="s">
        <v>55</v>
      </c>
      <c r="D16" s="6" t="s">
        <v>33</v>
      </c>
      <c r="E16" s="6" t="s">
        <v>56</v>
      </c>
      <c r="F16" s="5" t="s">
        <v>16</v>
      </c>
      <c r="H16" s="5" t="s">
        <v>17</v>
      </c>
      <c r="N16" s="5" t="s">
        <v>18</v>
      </c>
    </row>
    <row r="17" ht="14.25" customHeight="1">
      <c r="A17" s="4" t="s">
        <v>57</v>
      </c>
      <c r="B17" s="7" t="s">
        <v>24</v>
      </c>
      <c r="C17" s="4" t="s">
        <v>58</v>
      </c>
      <c r="D17" s="6" t="s">
        <v>59</v>
      </c>
      <c r="E17" s="6" t="s">
        <v>60</v>
      </c>
      <c r="F17" s="5" t="s">
        <v>16</v>
      </c>
      <c r="H17" s="5" t="s">
        <v>17</v>
      </c>
      <c r="N17" s="5" t="s">
        <v>18</v>
      </c>
    </row>
    <row r="18" ht="14.25" customHeight="1">
      <c r="A18" s="4" t="s">
        <v>61</v>
      </c>
      <c r="B18" s="7" t="s">
        <v>24</v>
      </c>
      <c r="C18" s="4" t="s">
        <v>62</v>
      </c>
      <c r="D18" s="6" t="s">
        <v>33</v>
      </c>
      <c r="E18" s="6" t="s">
        <v>63</v>
      </c>
      <c r="F18" s="5" t="s">
        <v>16</v>
      </c>
      <c r="H18" s="5" t="s">
        <v>17</v>
      </c>
      <c r="N18" s="5" t="s">
        <v>18</v>
      </c>
    </row>
    <row r="19" ht="14.25" customHeight="1">
      <c r="A19" s="4" t="s">
        <v>64</v>
      </c>
      <c r="B19" s="7" t="s">
        <v>24</v>
      </c>
      <c r="C19" s="4" t="s">
        <v>65</v>
      </c>
      <c r="D19" s="6" t="s">
        <v>33</v>
      </c>
      <c r="E19" s="6" t="s">
        <v>66</v>
      </c>
      <c r="F19" s="5" t="s">
        <v>16</v>
      </c>
      <c r="H19" s="5" t="s">
        <v>17</v>
      </c>
      <c r="N19" s="5" t="s">
        <v>18</v>
      </c>
    </row>
    <row r="20" ht="14.25" customHeight="1">
      <c r="A20" s="4" t="s">
        <v>64</v>
      </c>
      <c r="B20" s="7" t="s">
        <v>24</v>
      </c>
      <c r="C20" s="4" t="s">
        <v>67</v>
      </c>
      <c r="D20" s="6" t="s">
        <v>33</v>
      </c>
      <c r="E20" s="6" t="s">
        <v>68</v>
      </c>
      <c r="F20" s="5" t="s">
        <v>16</v>
      </c>
      <c r="G20" s="8"/>
      <c r="H20" s="5" t="s">
        <v>17</v>
      </c>
      <c r="I20" s="8"/>
      <c r="N20" s="5" t="s">
        <v>18</v>
      </c>
    </row>
    <row r="21" ht="14.25" customHeight="1">
      <c r="A21" s="4" t="s">
        <v>69</v>
      </c>
      <c r="B21" s="7" t="s">
        <v>24</v>
      </c>
      <c r="C21" s="4" t="s">
        <v>70</v>
      </c>
      <c r="D21" s="6" t="s">
        <v>51</v>
      </c>
      <c r="E21" s="6" t="s">
        <v>71</v>
      </c>
      <c r="F21" s="5" t="s">
        <v>16</v>
      </c>
      <c r="G21" s="6"/>
      <c r="H21" s="5" t="s">
        <v>17</v>
      </c>
      <c r="I21" s="6"/>
      <c r="N21" s="5" t="s">
        <v>18</v>
      </c>
    </row>
    <row r="22" ht="14.25" customHeight="1">
      <c r="A22" s="4" t="s">
        <v>69</v>
      </c>
      <c r="B22" s="7" t="s">
        <v>24</v>
      </c>
      <c r="C22" s="4" t="s">
        <v>72</v>
      </c>
      <c r="D22" s="6" t="s">
        <v>51</v>
      </c>
      <c r="E22" s="6" t="s">
        <v>73</v>
      </c>
      <c r="F22" s="5" t="s">
        <v>16</v>
      </c>
      <c r="G22" s="6"/>
      <c r="H22" s="5" t="s">
        <v>17</v>
      </c>
      <c r="I22" s="6"/>
      <c r="N22" s="5" t="s">
        <v>18</v>
      </c>
    </row>
    <row r="23" ht="14.25" customHeight="1">
      <c r="A23" s="4" t="s">
        <v>69</v>
      </c>
      <c r="B23" s="7" t="s">
        <v>24</v>
      </c>
      <c r="C23" s="4" t="s">
        <v>74</v>
      </c>
      <c r="D23" s="6" t="s">
        <v>33</v>
      </c>
      <c r="E23" s="6" t="s">
        <v>75</v>
      </c>
      <c r="F23" s="5" t="s">
        <v>16</v>
      </c>
      <c r="G23" s="6"/>
      <c r="H23" s="5" t="s">
        <v>17</v>
      </c>
      <c r="I23" s="6"/>
      <c r="N23" s="5" t="s">
        <v>18</v>
      </c>
    </row>
    <row r="24" ht="14.25" customHeight="1">
      <c r="D24" s="4"/>
      <c r="E24" s="4"/>
      <c r="F24" s="4"/>
      <c r="G24" s="6"/>
      <c r="H24" s="6"/>
      <c r="I24" s="6"/>
    </row>
    <row r="25" ht="14.25" customHeight="1">
      <c r="D25" s="4"/>
      <c r="E25" s="4"/>
      <c r="F25" s="4"/>
      <c r="G25" s="6"/>
      <c r="H25" s="6"/>
      <c r="I25" s="6"/>
    </row>
    <row r="26" ht="14.25" customHeight="1">
      <c r="D26" s="4"/>
      <c r="E26" s="4"/>
      <c r="F26" s="4"/>
      <c r="G26" s="6"/>
      <c r="H26" s="6"/>
      <c r="I26" s="6"/>
    </row>
    <row r="27" ht="14.25" customHeight="1">
      <c r="D27" s="4"/>
      <c r="E27" s="4"/>
      <c r="F27" s="4"/>
      <c r="G27" s="6"/>
      <c r="H27" s="6"/>
      <c r="I27" s="6"/>
    </row>
    <row r="28" ht="14.25" customHeight="1">
      <c r="D28" s="4"/>
      <c r="E28" s="4"/>
      <c r="F28" s="4"/>
      <c r="G28" s="6"/>
      <c r="H28" s="6"/>
      <c r="I28" s="6"/>
    </row>
    <row r="29" ht="14.25" customHeight="1">
      <c r="D29" s="4"/>
      <c r="E29" s="4"/>
      <c r="F29" s="4"/>
      <c r="G29" s="6"/>
      <c r="H29" s="6"/>
      <c r="I29" s="6"/>
    </row>
    <row r="30" ht="14.25" customHeight="1">
      <c r="D30" s="4"/>
      <c r="E30" s="4"/>
      <c r="F30" s="4"/>
      <c r="G30" s="6"/>
      <c r="H30" s="6"/>
      <c r="I30" s="6"/>
    </row>
    <row r="31" ht="14.25" customHeight="1">
      <c r="D31" s="4"/>
      <c r="E31" s="4"/>
      <c r="F31" s="4"/>
      <c r="G31" s="6"/>
      <c r="H31" s="6"/>
      <c r="I31" s="6"/>
      <c r="K31" s="9"/>
      <c r="L31" s="9"/>
      <c r="M31" s="9"/>
      <c r="N31" s="8"/>
      <c r="O31" s="8"/>
      <c r="P31" s="8"/>
    </row>
    <row r="32" ht="14.25" customHeight="1">
      <c r="D32" s="4"/>
      <c r="E32" s="4"/>
      <c r="F32" s="4"/>
      <c r="G32" s="6"/>
      <c r="H32" s="6"/>
      <c r="I32" s="6"/>
      <c r="K32" s="4"/>
      <c r="L32" s="4"/>
      <c r="M32" s="4"/>
      <c r="N32" s="6"/>
      <c r="O32" s="6"/>
      <c r="P32" s="6"/>
    </row>
    <row r="33" ht="14.25" customHeight="1">
      <c r="D33" s="4"/>
      <c r="E33" s="4"/>
      <c r="F33" s="4"/>
      <c r="G33" s="6"/>
      <c r="H33" s="6"/>
      <c r="I33" s="6"/>
      <c r="K33" s="4"/>
      <c r="L33" s="4"/>
      <c r="M33" s="4"/>
      <c r="N33" s="6"/>
      <c r="O33" s="6"/>
      <c r="P33" s="6"/>
    </row>
    <row r="34" ht="14.25" customHeight="1">
      <c r="D34" s="4"/>
      <c r="E34" s="4"/>
      <c r="F34" s="4"/>
      <c r="G34" s="6"/>
      <c r="H34" s="6"/>
      <c r="I34" s="6"/>
      <c r="K34" s="4"/>
      <c r="L34" s="4"/>
      <c r="M34" s="4"/>
      <c r="N34" s="6"/>
      <c r="O34" s="6"/>
      <c r="P34" s="6"/>
    </row>
    <row r="35" ht="14.25" customHeight="1">
      <c r="D35" s="4"/>
      <c r="E35" s="4"/>
      <c r="F35" s="4"/>
      <c r="G35" s="6"/>
      <c r="H35" s="6"/>
      <c r="I35" s="6"/>
      <c r="K35" s="4"/>
      <c r="L35" s="4"/>
      <c r="M35" s="4"/>
      <c r="N35" s="6"/>
      <c r="O35" s="6"/>
      <c r="P35" s="6"/>
    </row>
    <row r="36" ht="14.25" customHeight="1">
      <c r="D36" s="4"/>
      <c r="E36" s="4"/>
      <c r="F36" s="4"/>
      <c r="G36" s="6"/>
      <c r="H36" s="6"/>
      <c r="I36" s="6"/>
      <c r="K36" s="4"/>
      <c r="L36" s="4"/>
      <c r="M36" s="4"/>
      <c r="N36" s="6"/>
      <c r="O36" s="6"/>
      <c r="P36" s="6"/>
    </row>
    <row r="37" ht="14.25" customHeight="1">
      <c r="D37" s="4"/>
      <c r="E37" s="4"/>
      <c r="F37" s="4"/>
      <c r="G37" s="6"/>
      <c r="H37" s="6"/>
      <c r="I37" s="6"/>
      <c r="K37" s="4"/>
      <c r="L37" s="4"/>
      <c r="M37" s="4"/>
      <c r="N37" s="6"/>
      <c r="O37" s="6"/>
      <c r="P37" s="6"/>
    </row>
    <row r="38" ht="14.25" customHeight="1">
      <c r="D38" s="4"/>
      <c r="E38" s="4"/>
      <c r="F38" s="4"/>
      <c r="G38" s="6"/>
      <c r="H38" s="6"/>
      <c r="I38" s="6"/>
      <c r="K38" s="4"/>
      <c r="L38" s="4"/>
      <c r="M38" s="4"/>
      <c r="N38" s="6"/>
      <c r="O38" s="6"/>
      <c r="P38" s="6"/>
    </row>
    <row r="39" ht="14.25" customHeight="1">
      <c r="D39" s="4"/>
      <c r="E39" s="4"/>
      <c r="F39" s="4"/>
      <c r="G39" s="6"/>
      <c r="H39" s="6"/>
      <c r="I39" s="6"/>
      <c r="K39" s="4"/>
      <c r="L39" s="4"/>
      <c r="M39" s="4"/>
      <c r="N39" s="6"/>
      <c r="O39" s="6"/>
      <c r="P39" s="6"/>
    </row>
    <row r="40" ht="14.25" customHeight="1">
      <c r="D40" s="4"/>
      <c r="E40" s="4"/>
      <c r="F40" s="4"/>
      <c r="G40" s="6"/>
      <c r="H40" s="6"/>
      <c r="I40" s="6"/>
      <c r="K40" s="4"/>
      <c r="L40" s="4"/>
      <c r="M40" s="4"/>
      <c r="N40" s="6"/>
      <c r="O40" s="6"/>
      <c r="P40" s="6"/>
    </row>
    <row r="41" ht="14.25" customHeight="1">
      <c r="K41" s="4"/>
      <c r="L41" s="4"/>
      <c r="M41" s="4"/>
      <c r="N41" s="6"/>
      <c r="O41" s="6"/>
      <c r="P41" s="6"/>
    </row>
    <row r="42" ht="14.25" customHeight="1">
      <c r="K42" s="4"/>
      <c r="L42" s="4"/>
      <c r="M42" s="4"/>
      <c r="N42" s="6"/>
      <c r="O42" s="6"/>
      <c r="P42" s="6"/>
    </row>
    <row r="43" ht="14.25" customHeight="1">
      <c r="K43" s="4"/>
      <c r="L43" s="4"/>
      <c r="M43" s="4"/>
      <c r="N43" s="6"/>
      <c r="O43" s="6"/>
      <c r="P43" s="6"/>
    </row>
    <row r="44" ht="14.25" customHeight="1">
      <c r="K44" s="4"/>
      <c r="L44" s="4"/>
      <c r="M44" s="4"/>
      <c r="N44" s="6"/>
      <c r="O44" s="6"/>
      <c r="P44" s="6"/>
    </row>
    <row r="45" ht="14.25" customHeight="1">
      <c r="K45" s="4"/>
      <c r="L45" s="4"/>
      <c r="M45" s="4"/>
      <c r="N45" s="6"/>
      <c r="O45" s="6"/>
      <c r="P45" s="6"/>
    </row>
    <row r="46" ht="14.25" customHeight="1">
      <c r="K46" s="4"/>
      <c r="L46" s="4"/>
      <c r="M46" s="4"/>
      <c r="N46" s="6"/>
      <c r="O46" s="6"/>
      <c r="P46" s="6"/>
    </row>
    <row r="47" ht="14.25" customHeight="1">
      <c r="K47" s="4"/>
      <c r="L47" s="4"/>
      <c r="M47" s="4"/>
      <c r="N47" s="6"/>
      <c r="O47" s="6"/>
      <c r="P47" s="6"/>
    </row>
    <row r="48" ht="14.25" customHeight="1">
      <c r="K48" s="4"/>
      <c r="L48" s="4"/>
      <c r="M48" s="4"/>
      <c r="N48" s="6"/>
      <c r="O48" s="6"/>
      <c r="P48" s="6"/>
    </row>
    <row r="49" ht="14.25" customHeight="1">
      <c r="K49" s="4"/>
      <c r="L49" s="4"/>
      <c r="M49" s="4"/>
      <c r="N49" s="6"/>
      <c r="O49" s="6"/>
      <c r="P49" s="6"/>
    </row>
    <row r="50" ht="14.25" customHeight="1">
      <c r="K50" s="4"/>
      <c r="L50" s="4"/>
      <c r="M50" s="4"/>
      <c r="N50" s="6"/>
      <c r="O50" s="6"/>
      <c r="P50" s="6"/>
    </row>
    <row r="51" ht="14.25" customHeight="1">
      <c r="K51" s="4"/>
      <c r="L51" s="4"/>
      <c r="M51" s="4"/>
      <c r="N51" s="6"/>
      <c r="O51" s="6"/>
      <c r="P51" s="6"/>
    </row>
    <row r="52" ht="14.25" customHeight="1"/>
    <row r="53" ht="14.25" customHeight="1"/>
    <row r="54" ht="14.25" customHeight="1">
      <c r="N54" s="4"/>
      <c r="O54" s="4"/>
      <c r="P54" s="4"/>
      <c r="Q54" s="6"/>
      <c r="R54" s="6"/>
      <c r="S54" s="6"/>
    </row>
    <row r="55" ht="14.25" customHeight="1">
      <c r="N55" s="4"/>
      <c r="O55" s="4"/>
      <c r="P55" s="4"/>
      <c r="Q55" s="6"/>
      <c r="R55" s="6"/>
      <c r="S55" s="6"/>
    </row>
    <row r="56" ht="14.25" customHeight="1">
      <c r="N56" s="4"/>
      <c r="O56" s="4"/>
      <c r="P56" s="4"/>
      <c r="Q56" s="6"/>
      <c r="R56" s="6"/>
      <c r="S56" s="6"/>
    </row>
    <row r="57" ht="14.25" customHeight="1">
      <c r="N57" s="4"/>
      <c r="O57" s="4"/>
      <c r="P57" s="4"/>
      <c r="Q57" s="6"/>
      <c r="R57" s="6"/>
      <c r="S57" s="6"/>
    </row>
    <row r="58" ht="14.25" customHeight="1">
      <c r="N58" s="4"/>
      <c r="O58" s="4"/>
      <c r="P58" s="4"/>
      <c r="Q58" s="6"/>
      <c r="R58" s="6"/>
      <c r="S58" s="6"/>
    </row>
    <row r="59" ht="14.25" customHeight="1">
      <c r="N59" s="4"/>
      <c r="O59" s="4"/>
      <c r="P59" s="4"/>
      <c r="Q59" s="6"/>
      <c r="R59" s="6"/>
      <c r="S59" s="6"/>
    </row>
    <row r="60" ht="14.25" customHeight="1">
      <c r="N60" s="4"/>
      <c r="O60" s="4"/>
      <c r="P60" s="4"/>
      <c r="Q60" s="6"/>
      <c r="R60" s="6"/>
      <c r="S60" s="6"/>
    </row>
    <row r="61" ht="14.25" customHeight="1">
      <c r="N61" s="4"/>
      <c r="O61" s="4"/>
      <c r="P61" s="4"/>
      <c r="Q61" s="6"/>
      <c r="R61" s="6"/>
      <c r="S61" s="6"/>
    </row>
    <row r="62" ht="14.25" customHeight="1">
      <c r="N62" s="4"/>
      <c r="O62" s="4"/>
      <c r="P62" s="4"/>
      <c r="Q62" s="6"/>
      <c r="R62" s="6"/>
      <c r="S62" s="6"/>
    </row>
    <row r="63" ht="14.25" customHeight="1">
      <c r="N63" s="4"/>
      <c r="O63" s="4"/>
      <c r="P63" s="4"/>
      <c r="Q63" s="6"/>
      <c r="R63" s="6"/>
      <c r="S63" s="6"/>
    </row>
    <row r="64" ht="14.25" customHeight="1">
      <c r="N64" s="4"/>
      <c r="O64" s="4"/>
      <c r="P64" s="4"/>
      <c r="Q64" s="6"/>
      <c r="R64" s="6"/>
      <c r="S64" s="6"/>
    </row>
    <row r="65" ht="14.25" customHeight="1">
      <c r="N65" s="4"/>
      <c r="O65" s="4"/>
      <c r="P65" s="4"/>
      <c r="Q65" s="6"/>
      <c r="R65" s="6"/>
      <c r="S65" s="6"/>
    </row>
    <row r="66" ht="14.25" customHeight="1">
      <c r="N66" s="4"/>
      <c r="O66" s="4"/>
      <c r="P66" s="4"/>
      <c r="Q66" s="6"/>
      <c r="R66" s="6"/>
      <c r="S66" s="6"/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>
      <c r="N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3" width="36.0"/>
    <col customWidth="1" min="4" max="4" width="10.0"/>
    <col customWidth="1" min="5" max="5" width="20.0"/>
    <col customWidth="1" min="6" max="6" width="12.0"/>
    <col customWidth="1" min="7" max="8" width="14.0"/>
    <col customWidth="1" min="9" max="11" width="10.0"/>
    <col customWidth="1" min="12" max="12" width="14.0"/>
    <col customWidth="1" min="13" max="13" width="10.0"/>
    <col customWidth="1" min="14" max="15" width="12.0"/>
    <col customWidth="1" min="16" max="16" width="14.0"/>
    <col customWidth="1" min="17" max="17" width="12.0"/>
    <col customWidth="1" min="18" max="18" width="14.0"/>
    <col customWidth="1" min="19" max="19" width="24.0"/>
    <col customWidth="1" min="20" max="20" width="16.0"/>
    <col customWidth="1" min="21" max="26" width="8.86"/>
  </cols>
  <sheetData>
    <row r="1" ht="38.25" customHeight="1">
      <c r="A1" s="10" t="s">
        <v>76</v>
      </c>
      <c r="B1" s="10" t="s">
        <v>77</v>
      </c>
      <c r="C1" s="10" t="s">
        <v>78</v>
      </c>
      <c r="D1" s="10" t="s">
        <v>79</v>
      </c>
      <c r="E1" s="10" t="s">
        <v>80</v>
      </c>
      <c r="F1" s="10" t="s">
        <v>81</v>
      </c>
      <c r="G1" s="10" t="s">
        <v>82</v>
      </c>
      <c r="H1" s="10" t="s">
        <v>83</v>
      </c>
      <c r="I1" s="10" t="s">
        <v>8</v>
      </c>
      <c r="J1" s="10" t="s">
        <v>9</v>
      </c>
      <c r="K1" s="10" t="s">
        <v>10</v>
      </c>
      <c r="L1" s="10" t="s">
        <v>84</v>
      </c>
      <c r="M1" s="10" t="s">
        <v>85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ht="18.0" customHeight="1">
      <c r="A2" s="11" t="s">
        <v>93</v>
      </c>
      <c r="B2" s="11" t="s">
        <v>94</v>
      </c>
      <c r="C2" s="11" t="s">
        <v>95</v>
      </c>
      <c r="D2" s="11" t="s">
        <v>96</v>
      </c>
      <c r="E2" s="11" t="s">
        <v>97</v>
      </c>
      <c r="F2" s="11" t="s">
        <v>98</v>
      </c>
      <c r="G2" s="11" t="s">
        <v>12</v>
      </c>
      <c r="H2" s="11" t="s">
        <v>33</v>
      </c>
      <c r="I2" s="11" t="s">
        <v>99</v>
      </c>
      <c r="J2" s="11" t="s">
        <v>100</v>
      </c>
      <c r="K2" s="11" t="s">
        <v>18</v>
      </c>
      <c r="L2" s="11" t="s">
        <v>101</v>
      </c>
      <c r="M2" s="11" t="s">
        <v>102</v>
      </c>
      <c r="N2" s="11"/>
      <c r="O2" s="11" t="s">
        <v>17</v>
      </c>
      <c r="P2" s="11" t="s">
        <v>103</v>
      </c>
      <c r="Q2" s="11" t="s">
        <v>104</v>
      </c>
      <c r="R2" s="11" t="s">
        <v>105</v>
      </c>
      <c r="S2" s="11" t="s">
        <v>106</v>
      </c>
      <c r="T2" s="12">
        <f t="shared" ref="T2:T21" si="1">IFERROR(ROUND(COUNTIFS($B:$B,$B2,$M:$M,"Pass")/MAX(1,COUNTIFS($B:$B,$B2,$M:$M,"&lt;&gt;Not Run",$M:$M,"&lt;&gt;")),2),0)</f>
        <v>0.5</v>
      </c>
    </row>
    <row r="3" ht="18.0" customHeight="1">
      <c r="A3" s="11" t="s">
        <v>93</v>
      </c>
      <c r="B3" s="11" t="s">
        <v>94</v>
      </c>
      <c r="C3" s="11" t="s">
        <v>95</v>
      </c>
      <c r="D3" s="11" t="s">
        <v>107</v>
      </c>
      <c r="E3" s="11" t="s">
        <v>108</v>
      </c>
      <c r="F3" s="11" t="s">
        <v>109</v>
      </c>
      <c r="G3" s="11" t="s">
        <v>12</v>
      </c>
      <c r="H3" s="11" t="s">
        <v>33</v>
      </c>
      <c r="I3" s="11" t="s">
        <v>99</v>
      </c>
      <c r="J3" s="11" t="s">
        <v>100</v>
      </c>
      <c r="K3" s="11" t="s">
        <v>18</v>
      </c>
      <c r="L3" s="11" t="s">
        <v>101</v>
      </c>
      <c r="M3" s="11" t="s">
        <v>110</v>
      </c>
      <c r="N3" s="11" t="s">
        <v>111</v>
      </c>
      <c r="O3" s="11" t="s">
        <v>99</v>
      </c>
      <c r="P3" s="11" t="s">
        <v>103</v>
      </c>
      <c r="Q3" s="11" t="s">
        <v>104</v>
      </c>
      <c r="R3" s="11" t="s">
        <v>105</v>
      </c>
      <c r="S3" s="11" t="s">
        <v>112</v>
      </c>
      <c r="T3" s="12">
        <f t="shared" si="1"/>
        <v>0.5</v>
      </c>
    </row>
    <row r="4" ht="18.0" customHeight="1">
      <c r="A4" s="11" t="s">
        <v>113</v>
      </c>
      <c r="B4" s="11" t="s">
        <v>114</v>
      </c>
      <c r="C4" s="11" t="s">
        <v>115</v>
      </c>
      <c r="D4" s="11" t="s">
        <v>116</v>
      </c>
      <c r="E4" s="11" t="s">
        <v>117</v>
      </c>
      <c r="F4" s="11" t="s">
        <v>118</v>
      </c>
      <c r="G4" s="11" t="s">
        <v>12</v>
      </c>
      <c r="H4" s="11" t="s">
        <v>33</v>
      </c>
      <c r="I4" s="11" t="s">
        <v>99</v>
      </c>
      <c r="J4" s="11" t="s">
        <v>100</v>
      </c>
      <c r="K4" s="11" t="s">
        <v>18</v>
      </c>
      <c r="L4" s="11" t="s">
        <v>101</v>
      </c>
      <c r="M4" s="11" t="s">
        <v>102</v>
      </c>
      <c r="N4" s="11"/>
      <c r="O4" s="11" t="s">
        <v>17</v>
      </c>
      <c r="P4" s="11" t="s">
        <v>103</v>
      </c>
      <c r="Q4" s="11" t="s">
        <v>104</v>
      </c>
      <c r="R4" s="11" t="s">
        <v>119</v>
      </c>
      <c r="S4" s="11" t="s">
        <v>120</v>
      </c>
      <c r="T4" s="12">
        <f t="shared" si="1"/>
        <v>0.5</v>
      </c>
    </row>
    <row r="5" ht="18.0" customHeight="1">
      <c r="A5" s="11" t="s">
        <v>113</v>
      </c>
      <c r="B5" s="11" t="s">
        <v>114</v>
      </c>
      <c r="C5" s="11" t="s">
        <v>115</v>
      </c>
      <c r="D5" s="11" t="s">
        <v>121</v>
      </c>
      <c r="E5" s="11" t="s">
        <v>122</v>
      </c>
      <c r="F5" s="11" t="s">
        <v>123</v>
      </c>
      <c r="G5" s="11" t="s">
        <v>12</v>
      </c>
      <c r="H5" s="11" t="s">
        <v>30</v>
      </c>
      <c r="I5" s="11" t="s">
        <v>99</v>
      </c>
      <c r="J5" s="11" t="s">
        <v>100</v>
      </c>
      <c r="K5" s="11" t="s">
        <v>18</v>
      </c>
      <c r="L5" s="11" t="s">
        <v>124</v>
      </c>
      <c r="M5" s="11" t="s">
        <v>110</v>
      </c>
      <c r="N5" s="11" t="s">
        <v>125</v>
      </c>
      <c r="O5" s="11" t="s">
        <v>126</v>
      </c>
      <c r="P5" s="11" t="s">
        <v>103</v>
      </c>
      <c r="Q5" s="11" t="s">
        <v>104</v>
      </c>
      <c r="R5" s="11" t="s">
        <v>119</v>
      </c>
      <c r="S5" s="11" t="s">
        <v>127</v>
      </c>
      <c r="T5" s="12">
        <f t="shared" si="1"/>
        <v>0.5</v>
      </c>
    </row>
    <row r="6" ht="18.0" customHeight="1">
      <c r="A6" s="11" t="s">
        <v>128</v>
      </c>
      <c r="B6" s="11" t="s">
        <v>129</v>
      </c>
      <c r="C6" s="11" t="s">
        <v>130</v>
      </c>
      <c r="D6" s="11" t="s">
        <v>131</v>
      </c>
      <c r="E6" s="11" t="s">
        <v>132</v>
      </c>
      <c r="F6" s="11" t="s">
        <v>133</v>
      </c>
      <c r="G6" s="11" t="s">
        <v>12</v>
      </c>
      <c r="H6" s="11" t="s">
        <v>33</v>
      </c>
      <c r="I6" s="11" t="s">
        <v>134</v>
      </c>
      <c r="J6" s="11" t="s">
        <v>135</v>
      </c>
      <c r="K6" s="11" t="s">
        <v>18</v>
      </c>
      <c r="L6" s="11" t="s">
        <v>101</v>
      </c>
      <c r="M6" s="11" t="s">
        <v>102</v>
      </c>
      <c r="N6" s="11"/>
      <c r="O6" s="11" t="s">
        <v>17</v>
      </c>
      <c r="P6" s="11" t="s">
        <v>103</v>
      </c>
      <c r="Q6" s="11" t="s">
        <v>104</v>
      </c>
      <c r="R6" s="11" t="s">
        <v>119</v>
      </c>
      <c r="S6" s="11" t="s">
        <v>136</v>
      </c>
      <c r="T6" s="12">
        <f t="shared" si="1"/>
        <v>1</v>
      </c>
    </row>
    <row r="7" ht="18.0" customHeight="1">
      <c r="A7" s="11" t="s">
        <v>137</v>
      </c>
      <c r="B7" s="11" t="s">
        <v>138</v>
      </c>
      <c r="C7" s="11" t="s">
        <v>139</v>
      </c>
      <c r="D7" s="11" t="s">
        <v>140</v>
      </c>
      <c r="E7" s="11" t="s">
        <v>141</v>
      </c>
      <c r="F7" s="11" t="s">
        <v>142</v>
      </c>
      <c r="G7" s="11" t="s">
        <v>12</v>
      </c>
      <c r="H7" s="11" t="s">
        <v>33</v>
      </c>
      <c r="I7" s="11" t="s">
        <v>134</v>
      </c>
      <c r="J7" s="11" t="s">
        <v>135</v>
      </c>
      <c r="K7" s="11" t="s">
        <v>18</v>
      </c>
      <c r="L7" s="11" t="s">
        <v>124</v>
      </c>
      <c r="M7" s="11" t="s">
        <v>102</v>
      </c>
      <c r="N7" s="11"/>
      <c r="O7" s="11" t="s">
        <v>17</v>
      </c>
      <c r="P7" s="11" t="s">
        <v>103</v>
      </c>
      <c r="Q7" s="11" t="s">
        <v>104</v>
      </c>
      <c r="R7" s="11" t="s">
        <v>143</v>
      </c>
      <c r="S7" s="11" t="s">
        <v>144</v>
      </c>
      <c r="T7" s="12">
        <f t="shared" si="1"/>
        <v>1</v>
      </c>
    </row>
    <row r="8" ht="18.0" customHeight="1">
      <c r="A8" s="11" t="s">
        <v>145</v>
      </c>
      <c r="B8" s="11" t="s">
        <v>146</v>
      </c>
      <c r="C8" s="11" t="s">
        <v>147</v>
      </c>
      <c r="D8" s="11" t="s">
        <v>148</v>
      </c>
      <c r="E8" s="11" t="s">
        <v>149</v>
      </c>
      <c r="F8" s="11" t="s">
        <v>150</v>
      </c>
      <c r="G8" s="11" t="s">
        <v>12</v>
      </c>
      <c r="H8" s="11" t="s">
        <v>33</v>
      </c>
      <c r="I8" s="11" t="s">
        <v>134</v>
      </c>
      <c r="J8" s="11" t="s">
        <v>100</v>
      </c>
      <c r="K8" s="11" t="s">
        <v>18</v>
      </c>
      <c r="L8" s="11" t="s">
        <v>124</v>
      </c>
      <c r="M8" s="11" t="s">
        <v>151</v>
      </c>
      <c r="N8" s="11"/>
      <c r="O8" s="11" t="s">
        <v>17</v>
      </c>
      <c r="P8" s="11" t="s">
        <v>103</v>
      </c>
      <c r="Q8" s="11" t="s">
        <v>104</v>
      </c>
      <c r="R8" s="11" t="s">
        <v>143</v>
      </c>
      <c r="S8" s="11" t="s">
        <v>152</v>
      </c>
      <c r="T8" s="12">
        <f t="shared" si="1"/>
        <v>0</v>
      </c>
    </row>
    <row r="9" ht="18.0" customHeight="1">
      <c r="A9" s="11" t="s">
        <v>153</v>
      </c>
      <c r="B9" s="11" t="s">
        <v>154</v>
      </c>
      <c r="C9" s="11" t="s">
        <v>155</v>
      </c>
      <c r="D9" s="11" t="s">
        <v>156</v>
      </c>
      <c r="E9" s="11" t="s">
        <v>157</v>
      </c>
      <c r="F9" s="11" t="s">
        <v>158</v>
      </c>
      <c r="G9" s="11" t="s">
        <v>12</v>
      </c>
      <c r="H9" s="11" t="s">
        <v>33</v>
      </c>
      <c r="I9" s="11" t="s">
        <v>99</v>
      </c>
      <c r="J9" s="11" t="s">
        <v>100</v>
      </c>
      <c r="K9" s="11" t="s">
        <v>159</v>
      </c>
      <c r="L9" s="11" t="s">
        <v>101</v>
      </c>
      <c r="M9" s="11" t="s">
        <v>102</v>
      </c>
      <c r="N9" s="11"/>
      <c r="O9" s="11" t="s">
        <v>17</v>
      </c>
      <c r="P9" s="11" t="s">
        <v>160</v>
      </c>
      <c r="Q9" s="11" t="s">
        <v>104</v>
      </c>
      <c r="R9" s="11" t="s">
        <v>161</v>
      </c>
      <c r="S9" s="11" t="s">
        <v>162</v>
      </c>
      <c r="T9" s="12">
        <f t="shared" si="1"/>
        <v>0.5</v>
      </c>
    </row>
    <row r="10" ht="18.0" customHeight="1">
      <c r="A10" s="11" t="s">
        <v>153</v>
      </c>
      <c r="B10" s="11" t="s">
        <v>154</v>
      </c>
      <c r="C10" s="11" t="s">
        <v>155</v>
      </c>
      <c r="D10" s="11" t="s">
        <v>163</v>
      </c>
      <c r="E10" s="11" t="s">
        <v>164</v>
      </c>
      <c r="F10" s="11" t="s">
        <v>165</v>
      </c>
      <c r="G10" s="11" t="s">
        <v>12</v>
      </c>
      <c r="H10" s="11" t="s">
        <v>33</v>
      </c>
      <c r="I10" s="11" t="s">
        <v>99</v>
      </c>
      <c r="J10" s="11" t="s">
        <v>100</v>
      </c>
      <c r="K10" s="11" t="s">
        <v>159</v>
      </c>
      <c r="L10" s="11" t="s">
        <v>101</v>
      </c>
      <c r="M10" s="11" t="s">
        <v>110</v>
      </c>
      <c r="N10" s="11" t="s">
        <v>166</v>
      </c>
      <c r="O10" s="11" t="s">
        <v>134</v>
      </c>
      <c r="P10" s="11" t="s">
        <v>160</v>
      </c>
      <c r="Q10" s="11" t="s">
        <v>104</v>
      </c>
      <c r="R10" s="11" t="s">
        <v>161</v>
      </c>
      <c r="S10" s="11" t="s">
        <v>167</v>
      </c>
      <c r="T10" s="12">
        <f t="shared" si="1"/>
        <v>0.5</v>
      </c>
    </row>
    <row r="11" ht="18.0" customHeight="1">
      <c r="A11" s="11" t="s">
        <v>168</v>
      </c>
      <c r="B11" s="11" t="s">
        <v>169</v>
      </c>
      <c r="C11" s="11" t="s">
        <v>170</v>
      </c>
      <c r="D11" s="11" t="s">
        <v>171</v>
      </c>
      <c r="E11" s="11" t="s">
        <v>172</v>
      </c>
      <c r="F11" s="11" t="s">
        <v>173</v>
      </c>
      <c r="G11" s="11" t="s">
        <v>12</v>
      </c>
      <c r="H11" s="11" t="s">
        <v>174</v>
      </c>
      <c r="I11" s="11" t="s">
        <v>134</v>
      </c>
      <c r="J11" s="11" t="s">
        <v>135</v>
      </c>
      <c r="K11" s="11" t="s">
        <v>159</v>
      </c>
      <c r="L11" s="11" t="s">
        <v>124</v>
      </c>
      <c r="M11" s="11" t="s">
        <v>102</v>
      </c>
      <c r="N11" s="11"/>
      <c r="O11" s="11" t="s">
        <v>17</v>
      </c>
      <c r="P11" s="11" t="s">
        <v>160</v>
      </c>
      <c r="Q11" s="11" t="s">
        <v>104</v>
      </c>
      <c r="R11" s="11" t="s">
        <v>175</v>
      </c>
      <c r="S11" s="11" t="s">
        <v>176</v>
      </c>
      <c r="T11" s="12">
        <f t="shared" si="1"/>
        <v>1</v>
      </c>
    </row>
    <row r="12" ht="18.0" customHeight="1">
      <c r="A12" s="11" t="s">
        <v>177</v>
      </c>
      <c r="B12" s="11" t="s">
        <v>178</v>
      </c>
      <c r="C12" s="11" t="s">
        <v>179</v>
      </c>
      <c r="D12" s="11" t="s">
        <v>180</v>
      </c>
      <c r="E12" s="11" t="s">
        <v>181</v>
      </c>
      <c r="F12" s="11" t="s">
        <v>182</v>
      </c>
      <c r="G12" s="11" t="s">
        <v>183</v>
      </c>
      <c r="H12" s="11" t="s">
        <v>33</v>
      </c>
      <c r="I12" s="11" t="s">
        <v>99</v>
      </c>
      <c r="J12" s="11" t="s">
        <v>100</v>
      </c>
      <c r="K12" s="11" t="s">
        <v>159</v>
      </c>
      <c r="L12" s="11" t="s">
        <v>124</v>
      </c>
      <c r="M12" s="11" t="s">
        <v>110</v>
      </c>
      <c r="N12" s="11" t="s">
        <v>184</v>
      </c>
      <c r="O12" s="11" t="s">
        <v>99</v>
      </c>
      <c r="P12" s="11" t="s">
        <v>160</v>
      </c>
      <c r="Q12" s="11" t="s">
        <v>104</v>
      </c>
      <c r="R12" s="11" t="s">
        <v>175</v>
      </c>
      <c r="S12" s="11" t="s">
        <v>185</v>
      </c>
      <c r="T12" s="12">
        <f t="shared" si="1"/>
        <v>0</v>
      </c>
    </row>
    <row r="13" ht="18.0" customHeight="1">
      <c r="A13" s="11" t="s">
        <v>186</v>
      </c>
      <c r="B13" s="11" t="s">
        <v>187</v>
      </c>
      <c r="C13" s="11" t="s">
        <v>188</v>
      </c>
      <c r="D13" s="11" t="s">
        <v>189</v>
      </c>
      <c r="E13" s="11" t="s">
        <v>190</v>
      </c>
      <c r="F13" s="11" t="s">
        <v>191</v>
      </c>
      <c r="G13" s="11" t="s">
        <v>12</v>
      </c>
      <c r="H13" s="11" t="s">
        <v>192</v>
      </c>
      <c r="I13" s="11" t="s">
        <v>99</v>
      </c>
      <c r="J13" s="11" t="s">
        <v>100</v>
      </c>
      <c r="K13" s="11" t="s">
        <v>159</v>
      </c>
      <c r="L13" s="11" t="s">
        <v>101</v>
      </c>
      <c r="M13" s="11" t="s">
        <v>102</v>
      </c>
      <c r="N13" s="11"/>
      <c r="O13" s="11" t="s">
        <v>17</v>
      </c>
      <c r="P13" s="11" t="s">
        <v>160</v>
      </c>
      <c r="Q13" s="11" t="s">
        <v>104</v>
      </c>
      <c r="R13" s="11" t="s">
        <v>193</v>
      </c>
      <c r="S13" s="11" t="s">
        <v>194</v>
      </c>
      <c r="T13" s="12">
        <f t="shared" si="1"/>
        <v>1</v>
      </c>
    </row>
    <row r="14" ht="18.0" customHeight="1">
      <c r="A14" s="11" t="s">
        <v>195</v>
      </c>
      <c r="B14" s="11" t="s">
        <v>196</v>
      </c>
      <c r="C14" s="11" t="s">
        <v>197</v>
      </c>
      <c r="D14" s="11" t="s">
        <v>198</v>
      </c>
      <c r="E14" s="11" t="s">
        <v>199</v>
      </c>
      <c r="F14" s="11" t="s">
        <v>200</v>
      </c>
      <c r="G14" s="11" t="s">
        <v>12</v>
      </c>
      <c r="H14" s="11" t="s">
        <v>174</v>
      </c>
      <c r="I14" s="11" t="s">
        <v>134</v>
      </c>
      <c r="J14" s="11" t="s">
        <v>135</v>
      </c>
      <c r="K14" s="11" t="s">
        <v>159</v>
      </c>
      <c r="L14" s="11" t="s">
        <v>124</v>
      </c>
      <c r="M14" s="11" t="s">
        <v>102</v>
      </c>
      <c r="N14" s="11"/>
      <c r="O14" s="11" t="s">
        <v>17</v>
      </c>
      <c r="P14" s="11" t="s">
        <v>160</v>
      </c>
      <c r="Q14" s="11" t="s">
        <v>104</v>
      </c>
      <c r="R14" s="11" t="s">
        <v>193</v>
      </c>
      <c r="S14" s="11" t="s">
        <v>201</v>
      </c>
      <c r="T14" s="12">
        <f t="shared" si="1"/>
        <v>1</v>
      </c>
    </row>
    <row r="15" ht="18.0" customHeight="1">
      <c r="A15" s="11" t="s">
        <v>202</v>
      </c>
      <c r="B15" s="11" t="s">
        <v>203</v>
      </c>
      <c r="C15" s="11" t="s">
        <v>204</v>
      </c>
      <c r="D15" s="11" t="s">
        <v>205</v>
      </c>
      <c r="E15" s="11" t="s">
        <v>206</v>
      </c>
      <c r="F15" s="11" t="s">
        <v>207</v>
      </c>
      <c r="G15" s="11" t="s">
        <v>12</v>
      </c>
      <c r="H15" s="11" t="s">
        <v>174</v>
      </c>
      <c r="I15" s="11" t="s">
        <v>134</v>
      </c>
      <c r="J15" s="11" t="s">
        <v>208</v>
      </c>
      <c r="K15" s="11" t="s">
        <v>159</v>
      </c>
      <c r="L15" s="11" t="s">
        <v>124</v>
      </c>
      <c r="M15" s="11" t="s">
        <v>102</v>
      </c>
      <c r="N15" s="11"/>
      <c r="O15" s="11" t="s">
        <v>17</v>
      </c>
      <c r="P15" s="11" t="s">
        <v>160</v>
      </c>
      <c r="Q15" s="11" t="s">
        <v>104</v>
      </c>
      <c r="R15" s="11" t="s">
        <v>193</v>
      </c>
      <c r="S15" s="11" t="s">
        <v>209</v>
      </c>
      <c r="T15" s="12">
        <f t="shared" si="1"/>
        <v>1</v>
      </c>
    </row>
    <row r="16" ht="18.0" customHeight="1">
      <c r="A16" s="11" t="s">
        <v>210</v>
      </c>
      <c r="B16" s="11" t="s">
        <v>211</v>
      </c>
      <c r="C16" s="11" t="s">
        <v>212</v>
      </c>
      <c r="D16" s="11" t="s">
        <v>213</v>
      </c>
      <c r="E16" s="11" t="s">
        <v>214</v>
      </c>
      <c r="F16" s="11" t="s">
        <v>215</v>
      </c>
      <c r="G16" s="11" t="s">
        <v>12</v>
      </c>
      <c r="H16" s="11" t="s">
        <v>33</v>
      </c>
      <c r="I16" s="11" t="s">
        <v>134</v>
      </c>
      <c r="J16" s="11" t="s">
        <v>100</v>
      </c>
      <c r="K16" s="11" t="s">
        <v>216</v>
      </c>
      <c r="L16" s="11" t="s">
        <v>124</v>
      </c>
      <c r="M16" s="11" t="s">
        <v>110</v>
      </c>
      <c r="N16" s="11" t="s">
        <v>217</v>
      </c>
      <c r="O16" s="11" t="s">
        <v>99</v>
      </c>
      <c r="P16" s="11" t="s">
        <v>218</v>
      </c>
      <c r="Q16" s="11" t="s">
        <v>104</v>
      </c>
      <c r="R16" s="11" t="s">
        <v>219</v>
      </c>
      <c r="S16" s="11" t="s">
        <v>220</v>
      </c>
      <c r="T16" s="12">
        <f t="shared" si="1"/>
        <v>0</v>
      </c>
    </row>
    <row r="17" ht="18.0" customHeight="1">
      <c r="A17" s="11" t="s">
        <v>221</v>
      </c>
      <c r="B17" s="11" t="s">
        <v>222</v>
      </c>
      <c r="C17" s="11" t="s">
        <v>223</v>
      </c>
      <c r="D17" s="11" t="s">
        <v>224</v>
      </c>
      <c r="E17" s="11" t="s">
        <v>225</v>
      </c>
      <c r="F17" s="11" t="s">
        <v>226</v>
      </c>
      <c r="G17" s="11" t="s">
        <v>12</v>
      </c>
      <c r="H17" s="11" t="s">
        <v>33</v>
      </c>
      <c r="I17" s="11" t="s">
        <v>134</v>
      </c>
      <c r="J17" s="11" t="s">
        <v>135</v>
      </c>
      <c r="K17" s="11" t="s">
        <v>216</v>
      </c>
      <c r="L17" s="11" t="s">
        <v>124</v>
      </c>
      <c r="M17" s="11" t="s">
        <v>102</v>
      </c>
      <c r="N17" s="11"/>
      <c r="O17" s="11" t="s">
        <v>17</v>
      </c>
      <c r="P17" s="11" t="s">
        <v>218</v>
      </c>
      <c r="Q17" s="11" t="s">
        <v>104</v>
      </c>
      <c r="R17" s="11" t="s">
        <v>219</v>
      </c>
      <c r="S17" s="11" t="s">
        <v>227</v>
      </c>
      <c r="T17" s="12">
        <f t="shared" si="1"/>
        <v>1</v>
      </c>
    </row>
    <row r="18" ht="18.0" customHeight="1">
      <c r="A18" s="11" t="s">
        <v>228</v>
      </c>
      <c r="B18" s="11" t="s">
        <v>229</v>
      </c>
      <c r="C18" s="11" t="s">
        <v>230</v>
      </c>
      <c r="D18" s="11" t="s">
        <v>231</v>
      </c>
      <c r="E18" s="11" t="s">
        <v>232</v>
      </c>
      <c r="F18" s="11" t="s">
        <v>233</v>
      </c>
      <c r="G18" s="11" t="s">
        <v>12</v>
      </c>
      <c r="H18" s="11" t="s">
        <v>33</v>
      </c>
      <c r="I18" s="11" t="s">
        <v>99</v>
      </c>
      <c r="J18" s="11" t="s">
        <v>135</v>
      </c>
      <c r="K18" s="11" t="s">
        <v>216</v>
      </c>
      <c r="L18" s="11" t="s">
        <v>101</v>
      </c>
      <c r="M18" s="11" t="s">
        <v>102</v>
      </c>
      <c r="N18" s="11"/>
      <c r="O18" s="11" t="s">
        <v>17</v>
      </c>
      <c r="P18" s="11" t="s">
        <v>218</v>
      </c>
      <c r="Q18" s="11" t="s">
        <v>104</v>
      </c>
      <c r="R18" s="11" t="s">
        <v>219</v>
      </c>
      <c r="S18" s="11" t="s">
        <v>234</v>
      </c>
      <c r="T18" s="12">
        <f t="shared" si="1"/>
        <v>1</v>
      </c>
    </row>
    <row r="19" ht="18.0" customHeight="1">
      <c r="A19" s="11" t="s">
        <v>235</v>
      </c>
      <c r="B19" s="11" t="s">
        <v>236</v>
      </c>
      <c r="C19" s="11" t="s">
        <v>237</v>
      </c>
      <c r="D19" s="11" t="s">
        <v>238</v>
      </c>
      <c r="E19" s="11" t="s">
        <v>239</v>
      </c>
      <c r="F19" s="11" t="s">
        <v>240</v>
      </c>
      <c r="G19" s="11" t="s">
        <v>12</v>
      </c>
      <c r="H19" s="11" t="s">
        <v>30</v>
      </c>
      <c r="I19" s="11" t="s">
        <v>99</v>
      </c>
      <c r="J19" s="11" t="s">
        <v>135</v>
      </c>
      <c r="K19" s="11" t="s">
        <v>216</v>
      </c>
      <c r="L19" s="11" t="s">
        <v>124</v>
      </c>
      <c r="M19" s="11" t="s">
        <v>102</v>
      </c>
      <c r="N19" s="11"/>
      <c r="O19" s="11" t="s">
        <v>17</v>
      </c>
      <c r="P19" s="11" t="s">
        <v>218</v>
      </c>
      <c r="Q19" s="11" t="s">
        <v>104</v>
      </c>
      <c r="R19" s="11" t="s">
        <v>219</v>
      </c>
      <c r="S19" s="11" t="s">
        <v>241</v>
      </c>
      <c r="T19" s="12">
        <f t="shared" si="1"/>
        <v>1</v>
      </c>
    </row>
    <row r="20" ht="18.0" customHeight="1">
      <c r="A20" s="11" t="s">
        <v>242</v>
      </c>
      <c r="B20" s="11" t="s">
        <v>243</v>
      </c>
      <c r="C20" s="11" t="s">
        <v>244</v>
      </c>
      <c r="D20" s="11" t="s">
        <v>245</v>
      </c>
      <c r="E20" s="11" t="s">
        <v>246</v>
      </c>
      <c r="F20" s="11" t="s">
        <v>247</v>
      </c>
      <c r="G20" s="11" t="s">
        <v>183</v>
      </c>
      <c r="H20" s="11" t="s">
        <v>33</v>
      </c>
      <c r="I20" s="11" t="s">
        <v>248</v>
      </c>
      <c r="J20" s="11" t="s">
        <v>208</v>
      </c>
      <c r="K20" s="11" t="s">
        <v>216</v>
      </c>
      <c r="L20" s="11" t="s">
        <v>101</v>
      </c>
      <c r="M20" s="11" t="s">
        <v>102</v>
      </c>
      <c r="N20" s="11"/>
      <c r="O20" s="11" t="s">
        <v>17</v>
      </c>
      <c r="P20" s="11" t="s">
        <v>218</v>
      </c>
      <c r="Q20" s="11" t="s">
        <v>104</v>
      </c>
      <c r="R20" s="11" t="s">
        <v>219</v>
      </c>
      <c r="S20" s="11" t="s">
        <v>249</v>
      </c>
      <c r="T20" s="12">
        <f t="shared" si="1"/>
        <v>1</v>
      </c>
    </row>
    <row r="21" ht="18.0" customHeight="1">
      <c r="A21" s="11" t="s">
        <v>242</v>
      </c>
      <c r="B21" s="11" t="s">
        <v>243</v>
      </c>
      <c r="C21" s="11" t="s">
        <v>244</v>
      </c>
      <c r="D21" s="11" t="s">
        <v>250</v>
      </c>
      <c r="E21" s="11" t="s">
        <v>251</v>
      </c>
      <c r="F21" s="11" t="s">
        <v>252</v>
      </c>
      <c r="G21" s="11" t="s">
        <v>12</v>
      </c>
      <c r="H21" s="11" t="s">
        <v>253</v>
      </c>
      <c r="I21" s="11" t="s">
        <v>248</v>
      </c>
      <c r="J21" s="11" t="s">
        <v>208</v>
      </c>
      <c r="K21" s="11" t="s">
        <v>216</v>
      </c>
      <c r="L21" s="11" t="s">
        <v>124</v>
      </c>
      <c r="M21" s="11" t="s">
        <v>102</v>
      </c>
      <c r="N21" s="11"/>
      <c r="O21" s="11" t="s">
        <v>17</v>
      </c>
      <c r="P21" s="11" t="s">
        <v>218</v>
      </c>
      <c r="Q21" s="11" t="s">
        <v>104</v>
      </c>
      <c r="R21" s="11" t="s">
        <v>219</v>
      </c>
      <c r="S21" s="11" t="s">
        <v>254</v>
      </c>
      <c r="T21" s="12">
        <f t="shared" si="1"/>
        <v>1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J2:J21">
    <cfRule type="expression" dxfId="0" priority="1">
      <formula>J2="Alto"</formula>
    </cfRule>
  </conditionalFormatting>
  <conditionalFormatting sqref="J2:J21">
    <cfRule type="expression" dxfId="1" priority="2">
      <formula>J2="Medio"</formula>
    </cfRule>
  </conditionalFormatting>
  <conditionalFormatting sqref="J2:J21">
    <cfRule type="expression" dxfId="2" priority="3">
      <formula>J2="Bajo"</formula>
    </cfRule>
  </conditionalFormatting>
  <conditionalFormatting sqref="M2:M21">
    <cfRule type="expression" dxfId="2" priority="4">
      <formula>M2="Pass"</formula>
    </cfRule>
  </conditionalFormatting>
  <conditionalFormatting sqref="M2:M21">
    <cfRule type="expression" dxfId="0" priority="5">
      <formula>M2="Fail"</formula>
    </cfRule>
  </conditionalFormatting>
  <conditionalFormatting sqref="M2:M21">
    <cfRule type="expression" dxfId="1" priority="6">
      <formula>M2="Blocked"</formula>
    </cfRule>
  </conditionalFormatting>
  <conditionalFormatting sqref="M2:M21">
    <cfRule type="expression" dxfId="3" priority="7">
      <formula>M2="Not Run"</formula>
    </cfRule>
  </conditionalFormatting>
  <dataValidations>
    <dataValidation type="list" allowBlank="1" sqref="H2:H21">
      <formula1>Lookups!$D$4:$D$11</formula1>
    </dataValidation>
    <dataValidation type="list" allowBlank="1" sqref="K2:K21">
      <formula1>Lookups!$N$4:$N$7</formula1>
    </dataValidation>
    <dataValidation type="list" allowBlank="1" sqref="L2:L21">
      <formula1>"Sí,No"</formula1>
    </dataValidation>
    <dataValidation type="list" allowBlank="1" sqref="J2:J21">
      <formula1>Lookups!$L$4:$L$6</formula1>
    </dataValidation>
    <dataValidation type="list" allowBlank="1" sqref="I2:I21">
      <formula1>Lookups!$J$4:$J$6</formula1>
    </dataValidation>
    <dataValidation type="list" allowBlank="1" sqref="O2:O21">
      <formula1>Lookups!$H$4:$H$8</formula1>
    </dataValidation>
    <dataValidation type="list" allowBlank="1" sqref="G2:G21">
      <formula1>Lookups!$B$4:$B$7</formula1>
    </dataValidation>
    <dataValidation type="list" allowBlank="1" sqref="M2:M21">
      <formula1>Lookups!$F$4:$F$7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3.86"/>
    <col customWidth="1" min="2" max="2" width="18.0"/>
    <col customWidth="1" min="3" max="3" width="8.86"/>
    <col customWidth="1" min="4" max="4" width="16.0"/>
    <col customWidth="1" min="5" max="5" width="12.0"/>
    <col customWidth="1" min="6" max="6" width="10.0"/>
    <col customWidth="1" min="7" max="7" width="12.0"/>
    <col customWidth="1" min="8" max="26" width="8.86"/>
  </cols>
  <sheetData>
    <row r="1" ht="14.25" customHeight="1">
      <c r="A1" s="13" t="s">
        <v>255</v>
      </c>
    </row>
    <row r="2" ht="14.25" customHeight="1"/>
    <row r="3" ht="14.25" customHeight="1">
      <c r="A3" s="14" t="s">
        <v>256</v>
      </c>
      <c r="D3" s="14" t="s">
        <v>257</v>
      </c>
    </row>
    <row r="4" ht="14.25" customHeight="1">
      <c r="A4" s="15" t="s">
        <v>258</v>
      </c>
      <c r="B4" s="16">
        <f>COUNTA(RTM!F:F)-1</f>
        <v>20</v>
      </c>
      <c r="D4" s="17" t="s">
        <v>259</v>
      </c>
      <c r="E4" s="17" t="s">
        <v>260</v>
      </c>
      <c r="F4" s="17" t="s">
        <v>102</v>
      </c>
      <c r="G4" s="17" t="s">
        <v>261</v>
      </c>
    </row>
    <row r="5" ht="14.25" customHeight="1">
      <c r="A5" s="15" t="s">
        <v>262</v>
      </c>
      <c r="B5" s="16">
        <f>COUNTIFS(RTM!M:M,"&lt;&gt;Not Run",RTM!M:M,"&lt;&gt;")</f>
        <v>21</v>
      </c>
      <c r="D5" s="11" t="s">
        <v>94</v>
      </c>
      <c r="E5" s="18">
        <f>COUNTIFS(RTM!$B:$B,D5,RTM!$M:$M,"&lt;&gt;Not Run",RTM!$M:$M,"&lt;&gt;")</f>
        <v>2</v>
      </c>
      <c r="F5" s="18">
        <f>COUNTIFS(RTM!$B:$B,D5,RTM!$M:$M,"Pass")</f>
        <v>1</v>
      </c>
      <c r="G5" s="19">
        <f t="shared" ref="G5:G20" si="1">IFERROR(F5/MAX(1,E5),0)</f>
        <v>0.5</v>
      </c>
    </row>
    <row r="6" ht="14.25" customHeight="1">
      <c r="A6" s="15" t="s">
        <v>102</v>
      </c>
      <c r="B6" s="16">
        <f>COUNTIF(RTM!M:M,"Pass")</f>
        <v>14</v>
      </c>
      <c r="D6" s="11" t="s">
        <v>114</v>
      </c>
      <c r="E6" s="18">
        <f>COUNTIFS(RTM!$B:$B,D6,RTM!$M:$M,"&lt;&gt;Not Run",RTM!$M:$M,"&lt;&gt;")</f>
        <v>2</v>
      </c>
      <c r="F6" s="18">
        <f>COUNTIFS(RTM!$B:$B,D6,RTM!$M:$M,"Pass")</f>
        <v>1</v>
      </c>
      <c r="G6" s="19">
        <f t="shared" si="1"/>
        <v>0.5</v>
      </c>
    </row>
    <row r="7" ht="14.25" customHeight="1">
      <c r="A7" s="15" t="s">
        <v>110</v>
      </c>
      <c r="B7" s="16">
        <f>COUNTIF(RTM!M:M,"Fail")</f>
        <v>5</v>
      </c>
      <c r="D7" s="11" t="s">
        <v>129</v>
      </c>
      <c r="E7" s="18">
        <f>COUNTIFS(RTM!$B:$B,D7,RTM!$M:$M,"&lt;&gt;Not Run",RTM!$M:$M,"&lt;&gt;")</f>
        <v>1</v>
      </c>
      <c r="F7" s="18">
        <f>COUNTIFS(RTM!$B:$B,D7,RTM!$M:$M,"Pass")</f>
        <v>1</v>
      </c>
      <c r="G7" s="19">
        <f t="shared" si="1"/>
        <v>1</v>
      </c>
    </row>
    <row r="8" ht="14.25" customHeight="1">
      <c r="A8" s="15" t="s">
        <v>151</v>
      </c>
      <c r="B8" s="16">
        <f>COUNTIF(RTM!M:M,"Blocked")</f>
        <v>1</v>
      </c>
      <c r="D8" s="11" t="s">
        <v>154</v>
      </c>
      <c r="E8" s="18">
        <f>COUNTIFS(RTM!$B:$B,D8,RTM!$M:$M,"&lt;&gt;Not Run",RTM!$M:$M,"&lt;&gt;")</f>
        <v>2</v>
      </c>
      <c r="F8" s="18">
        <f>COUNTIFS(RTM!$B:$B,D8,RTM!$M:$M,"Pass")</f>
        <v>1</v>
      </c>
      <c r="G8" s="19">
        <f t="shared" si="1"/>
        <v>0.5</v>
      </c>
    </row>
    <row r="9" ht="14.25" customHeight="1">
      <c r="A9" s="15" t="s">
        <v>263</v>
      </c>
      <c r="B9" s="20">
        <f>IFERROR(COUNTIF(RTM!M:M,"Pass")/MAX(1,COUNTIFS(RTM!M:M,"&lt;&gt;Not Run",RTM!M:M,"&lt;&gt;")),0)</f>
        <v>0.6666666667</v>
      </c>
      <c r="D9" s="11" t="s">
        <v>211</v>
      </c>
      <c r="E9" s="18">
        <f>COUNTIFS(RTM!$B:$B,D9,RTM!$M:$M,"&lt;&gt;Not Run",RTM!$M:$M,"&lt;&gt;")</f>
        <v>1</v>
      </c>
      <c r="F9" s="18">
        <f>COUNTIFS(RTM!$B:$B,D9,RTM!$M:$M,"Pass")</f>
        <v>0</v>
      </c>
      <c r="G9" s="19">
        <f t="shared" si="1"/>
        <v>0</v>
      </c>
    </row>
    <row r="10" ht="14.25" customHeight="1">
      <c r="A10" s="15" t="s">
        <v>264</v>
      </c>
      <c r="B10" s="16">
        <f>COUNTIF(RTM!N:N,"&lt;&gt;")-1</f>
        <v>5</v>
      </c>
      <c r="D10" s="11" t="s">
        <v>222</v>
      </c>
      <c r="E10" s="18">
        <f>COUNTIFS(RTM!$B:$B,D10,RTM!$M:$M,"&lt;&gt;Not Run",RTM!$M:$M,"&lt;&gt;")</f>
        <v>1</v>
      </c>
      <c r="F10" s="18">
        <f>COUNTIFS(RTM!$B:$B,D10,RTM!$M:$M,"Pass")</f>
        <v>1</v>
      </c>
      <c r="G10" s="19">
        <f t="shared" si="1"/>
        <v>1</v>
      </c>
    </row>
    <row r="11" ht="14.25" customHeight="1">
      <c r="A11" s="15" t="s">
        <v>126</v>
      </c>
      <c r="B11" s="16">
        <f>COUNTIF(RTM!O:O,"Crítica")</f>
        <v>1</v>
      </c>
      <c r="D11" s="11" t="s">
        <v>169</v>
      </c>
      <c r="E11" s="18">
        <f>COUNTIFS(RTM!$B:$B,D11,RTM!$M:$M,"&lt;&gt;Not Run",RTM!$M:$M,"&lt;&gt;")</f>
        <v>1</v>
      </c>
      <c r="F11" s="18">
        <f>COUNTIFS(RTM!$B:$B,D11,RTM!$M:$M,"Pass")</f>
        <v>1</v>
      </c>
      <c r="G11" s="19">
        <f t="shared" si="1"/>
        <v>1</v>
      </c>
    </row>
    <row r="12" ht="14.25" customHeight="1">
      <c r="A12" s="15" t="s">
        <v>99</v>
      </c>
      <c r="B12" s="16">
        <f>COUNTIF(RTM!O:O,"Alta")</f>
        <v>3</v>
      </c>
      <c r="D12" s="11" t="s">
        <v>229</v>
      </c>
      <c r="E12" s="18">
        <f>COUNTIFS(RTM!$B:$B,D12,RTM!$M:$M,"&lt;&gt;Not Run",RTM!$M:$M,"&lt;&gt;")</f>
        <v>1</v>
      </c>
      <c r="F12" s="18">
        <f>COUNTIFS(RTM!$B:$B,D12,RTM!$M:$M,"Pass")</f>
        <v>1</v>
      </c>
      <c r="G12" s="19">
        <f t="shared" si="1"/>
        <v>1</v>
      </c>
    </row>
    <row r="13" ht="14.25" customHeight="1">
      <c r="A13" s="15" t="s">
        <v>134</v>
      </c>
      <c r="B13" s="16">
        <f>COUNTIF(RTM!O:O,"Media")</f>
        <v>1</v>
      </c>
      <c r="D13" s="11" t="s">
        <v>178</v>
      </c>
      <c r="E13" s="18">
        <f>COUNTIFS(RTM!$B:$B,D13,RTM!$M:$M,"&lt;&gt;Not Run",RTM!$M:$M,"&lt;&gt;")</f>
        <v>1</v>
      </c>
      <c r="F13" s="18">
        <f>COUNTIFS(RTM!$B:$B,D13,RTM!$M:$M,"Pass")</f>
        <v>0</v>
      </c>
      <c r="G13" s="19">
        <f t="shared" si="1"/>
        <v>0</v>
      </c>
    </row>
    <row r="14" ht="14.25" customHeight="1">
      <c r="A14" s="15" t="s">
        <v>248</v>
      </c>
      <c r="B14" s="16">
        <f>COUNTIF(RTM!O:O,"Baja")</f>
        <v>0</v>
      </c>
      <c r="D14" s="11" t="s">
        <v>236</v>
      </c>
      <c r="E14" s="18">
        <f>COUNTIFS(RTM!$B:$B,D14,RTM!$M:$M,"&lt;&gt;Not Run",RTM!$M:$M,"&lt;&gt;")</f>
        <v>1</v>
      </c>
      <c r="F14" s="18">
        <f>COUNTIFS(RTM!$B:$B,D14,RTM!$M:$M,"Pass")</f>
        <v>1</v>
      </c>
      <c r="G14" s="19">
        <f t="shared" si="1"/>
        <v>1</v>
      </c>
    </row>
    <row r="15" ht="14.25" customHeight="1">
      <c r="A15" s="15" t="s">
        <v>265</v>
      </c>
      <c r="B15" s="20">
        <f>IFERROR(COUNTIF(RTM!L:L,"Sí")/MAX(1,COUNTA(RTM!L:L)-1),0)</f>
        <v>0.45</v>
      </c>
      <c r="D15" s="11" t="s">
        <v>138</v>
      </c>
      <c r="E15" s="18">
        <f>COUNTIFS(RTM!$B:$B,D15,RTM!$M:$M,"&lt;&gt;Not Run",RTM!$M:$M,"&lt;&gt;")</f>
        <v>1</v>
      </c>
      <c r="F15" s="18">
        <f>COUNTIFS(RTM!$B:$B,D15,RTM!$M:$M,"Pass")</f>
        <v>1</v>
      </c>
      <c r="G15" s="19">
        <f t="shared" si="1"/>
        <v>1</v>
      </c>
    </row>
    <row r="16" ht="14.25" customHeight="1">
      <c r="D16" s="11" t="s">
        <v>243</v>
      </c>
      <c r="E16" s="18">
        <f>COUNTIFS(RTM!$B:$B,D16,RTM!$M:$M,"&lt;&gt;Not Run",RTM!$M:$M,"&lt;&gt;")</f>
        <v>2</v>
      </c>
      <c r="F16" s="18">
        <f>COUNTIFS(RTM!$B:$B,D16,RTM!$M:$M,"Pass")</f>
        <v>2</v>
      </c>
      <c r="G16" s="19">
        <f t="shared" si="1"/>
        <v>1</v>
      </c>
    </row>
    <row r="17" ht="14.25" customHeight="1">
      <c r="D17" s="11" t="s">
        <v>146</v>
      </c>
      <c r="E17" s="18">
        <f>COUNTIFS(RTM!$B:$B,D17,RTM!$M:$M,"&lt;&gt;Not Run",RTM!$M:$M,"&lt;&gt;")</f>
        <v>1</v>
      </c>
      <c r="F17" s="18">
        <f>COUNTIFS(RTM!$B:$B,D17,RTM!$M:$M,"Pass")</f>
        <v>0</v>
      </c>
      <c r="G17" s="19">
        <f t="shared" si="1"/>
        <v>0</v>
      </c>
    </row>
    <row r="18" ht="14.25" customHeight="1">
      <c r="D18" s="11" t="s">
        <v>187</v>
      </c>
      <c r="E18" s="18">
        <f>COUNTIFS(RTM!$B:$B,D18,RTM!$M:$M,"&lt;&gt;Not Run",RTM!$M:$M,"&lt;&gt;")</f>
        <v>1</v>
      </c>
      <c r="F18" s="18">
        <f>COUNTIFS(RTM!$B:$B,D18,RTM!$M:$M,"Pass")</f>
        <v>1</v>
      </c>
      <c r="G18" s="19">
        <f t="shared" si="1"/>
        <v>1</v>
      </c>
    </row>
    <row r="19" ht="14.25" customHeight="1">
      <c r="D19" s="11" t="s">
        <v>196</v>
      </c>
      <c r="E19" s="18">
        <f>COUNTIFS(RTM!$B:$B,D19,RTM!$M:$M,"&lt;&gt;Not Run",RTM!$M:$M,"&lt;&gt;")</f>
        <v>1</v>
      </c>
      <c r="F19" s="18">
        <f>COUNTIFS(RTM!$B:$B,D19,RTM!$M:$M,"Pass")</f>
        <v>1</v>
      </c>
      <c r="G19" s="19">
        <f t="shared" si="1"/>
        <v>1</v>
      </c>
    </row>
    <row r="20" ht="14.25" customHeight="1">
      <c r="D20" s="11" t="s">
        <v>203</v>
      </c>
      <c r="E20" s="18">
        <f>COUNTIFS(RTM!$B:$B,D20,RTM!$M:$M,"&lt;&gt;Not Run",RTM!$M:$M,"&lt;&gt;")</f>
        <v>1</v>
      </c>
      <c r="F20" s="18">
        <f>COUNTIFS(RTM!$B:$B,D20,RTM!$M:$M,"Pass")</f>
        <v>1</v>
      </c>
      <c r="G20" s="19">
        <f t="shared" si="1"/>
        <v>1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G5:G20">
    <cfRule type="cellIs" dxfId="0" priority="1" operator="lessThan">
      <formula>0.7</formula>
    </cfRule>
  </conditionalFormatting>
  <conditionalFormatting sqref="G5:G20">
    <cfRule type="cellIs" dxfId="1" priority="2" operator="between">
      <formula>0.7</formula>
      <formula>0.9</formula>
    </cfRule>
  </conditionalFormatting>
  <conditionalFormatting sqref="G5:G20">
    <cfRule type="cellIs" dxfId="2" priority="3" operator="greaterThanOrEqual">
      <formula>0.9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86"/>
  </cols>
  <sheetData>
    <row r="1" ht="14.25" customHeight="1">
      <c r="A1" s="13" t="s">
        <v>266</v>
      </c>
    </row>
    <row r="2" ht="14.25" customHeight="1"/>
    <row r="3" ht="14.25" customHeight="1">
      <c r="A3" s="21" t="s">
        <v>267</v>
      </c>
    </row>
    <row r="4" ht="14.25" customHeight="1">
      <c r="A4" s="21" t="s">
        <v>268</v>
      </c>
    </row>
    <row r="5" ht="14.25" customHeight="1">
      <c r="A5" s="21" t="s">
        <v>269</v>
      </c>
    </row>
    <row r="6" ht="14.25" customHeight="1">
      <c r="A6" s="21" t="s">
        <v>270</v>
      </c>
    </row>
    <row r="7" ht="14.25" customHeight="1">
      <c r="A7" s="21" t="s">
        <v>271</v>
      </c>
    </row>
    <row r="8" ht="14.25" customHeight="1">
      <c r="A8" s="21" t="s">
        <v>272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2026-02-11T21:59:43Z</dcterms:created>
  <dc:creator>openpyxl</dc:creator>
</cp:coreProperties>
</file>